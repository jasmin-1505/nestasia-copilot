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Data Quality Audit" sheetId="2" state="visible" r:id="rId4"/>
    <sheet name="Cookware - Analysis" sheetId="3" state="visible" r:id="rId5"/>
    <sheet name="Cookware - Competitors" sheetId="4" state="visible" r:id="rId6"/>
    <sheet name="Cookware - Channels" sheetId="5" state="visible" r:id="rId7"/>
    <sheet name="Cookware - Insights" sheetId="6" state="visible" r:id="rId8"/>
    <sheet name="Bakeware - Analysis" sheetId="7" state="visible" r:id="rId9"/>
    <sheet name="Bakeware - Competitors" sheetId="8" state="visible" r:id="rId10"/>
    <sheet name="Bakeware - Channels" sheetId="9" state="visible" r:id="rId11"/>
    <sheet name="Bakeware - Insights" sheetId="10" state="visible" r:id="rId12"/>
    <sheet name="Container - Analysis" sheetId="11" state="visible" r:id="rId13"/>
    <sheet name="Container - Competitors" sheetId="12" state="visible" r:id="rId14"/>
    <sheet name="Container - Channels" sheetId="13" state="visible" r:id="rId15"/>
    <sheet name="Container - Insights" sheetId="14" state="visible" r:id="rId16"/>
    <sheet name="LunchBox+Bag - Analysis" sheetId="15" state="visible" r:id="rId17"/>
    <sheet name="LunchBox+Bag - Competitors" sheetId="16" state="visible" r:id="rId18"/>
    <sheet name="LunchBox+Bag - Channels" sheetId="17" state="visible" r:id="rId19"/>
    <sheet name="LunchBox+Bag - Insights" sheetId="18" state="visible" r:id="rId20"/>
    <sheet name="Racks+Trivets - Analysis" sheetId="19" state="visible" r:id="rId21"/>
    <sheet name="Racks+Trivets - Competitors" sheetId="20" state="visible" r:id="rId22"/>
    <sheet name="Racks+Trivets - Channels" sheetId="21" state="visible" r:id="rId23"/>
    <sheet name="Racks+Trivets - Insights" sheetId="22" state="visible" r:id="rId24"/>
    <sheet name="Sources" sheetId="23" state="visible" r:id="rId2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<sst xmlns="http://schemas.openxmlformats.org/spreadsheetml/2006/main" count="1872" uniqueCount="1487">
  <si>
    <t xml:space="preserve">Nestasia — Kitchen Category: Complete Team Intelligence, Full Rigor Pass (Cookware, Bakeware, Container, Lunch Boxes+Bags, Kitchen Racks+Trivets)</t>
  </si>
  <si>
    <t xml:space="preserve">All 5 subcategories brought to consistent data-quality standard | Live-verified Aug 19 2026 | Site-wide bug confirmed 5x</t>
  </si>
  <si>
    <t xml:space="preserve">Scope of This Workbook</t>
  </si>
  <si>
    <t xml:space="preserve">This workbook consolidates competitive research on Nestasia's Cookware &amp; Utensils category: SKU counts and subcategory breakdowns for Nestasia and 8 competitors, pricing and discount patterns, customer sentiment from Amazon/Flipkart/Trustpilot, direct vs indirect competitor mapping, and strategic frameworks (product proposition, consumer segments, customer journey, market creation). Brands screened out for having zero or effectively-zero functional cookware/utensils SKUs (Chumbak, The Decor Kart, Nicobar) were excluded from the comparison set — see Sources tab note. All figures were pulled directly from brand storefronts, review platforms, and industry market reports; see the Sources tab for citations.</t>
  </si>
  <si>
    <t xml:space="preserve">Headline Findings</t>
  </si>
  <si>
    <t xml:space="preserve">SKU Scale Gap</t>
  </si>
  <si>
    <t xml:space="preserve">Nestasia's cookware catalogue (~81-101 SKUs, adjusted) is smaller than every functional competitor except Milton ProCook. Home Centre (236), TTK Prestige (237), and Wonderchef (116) all outscale it 1.5-3x.</t>
  </si>
  <si>
    <t xml:space="preserve">Positioning</t>
  </si>
  <si>
    <t xml:space="preserve">Nestasia competes on aesthetics/gifting/design, not functional performance — its catalogue taxonomy is organized by material (steel, cast iron) rather than by cooking-vessel type (kadhai, tawa, saucepan) the way every functional competitor's site is.</t>
  </si>
  <si>
    <t xml:space="preserve">Sharpest Threat</t>
  </si>
  <si>
    <t xml:space="preserve">Home Centre (Landmark Group) is the most comparable single competitor: same aesthetic-led positioning, 3.3x the combined SKU depth (497 vs 150), lower price points, and 90+ physical stores vs Nestasia's ~7.</t>
  </si>
  <si>
    <t xml:space="preserve">Sentiment</t>
  </si>
  <si>
    <t xml:space="preserve">Site-wide rating is strong (4.9/5, ~29k reviews) but sentiment is polarized by touchpoint: product-in-hand experience is praised; packaging/breakage in transit and rigid replacement policy are the sharpest complaint drivers.</t>
  </si>
  <si>
    <t xml:space="preserve">Ellementry — closest true positioning peer</t>
  </si>
  <si>
    <t xml:space="preserve">Founded 2018, handcrafted/sustainable luxury kitchenware. Repeatedly co-cited with Nestasia in ceramic-tableware and 'brands like Nicobar' roundups. Smaller cookware catalogue (24 SKUs) but on a genuinely different material axis (brass/marble/terracotta vs. Nestasia's steel/glass) — worth monitoring as the brand scales.</t>
  </si>
  <si>
    <t xml:space="preserve">Stahl Kitchens — the missing D2C-functional gap-filler</t>
  </si>
  <si>
    <t xml:space="preserve">A premium triply-cookware D2C specialist (10+ years, self-declared India's triply pioneer) that sits between Nestasia's design-first play and legacy giants (Prestige/Milton/Wonderchef). Not previously captured because it isn't a lifestyle/decor brand — it competes purely on engineering claims.</t>
  </si>
  <si>
    <t xml:space="preserve">Hidden Collections</t>
  </si>
  <si>
    <t xml:space="preserve">Nestasia (and Milton) split Saucepans/Casseroles into separate site collections outside their main Cookware page — a design choice that understates cookware depth on first-pass audits.</t>
  </si>
  <si>
    <t xml:space="preserve">Bakeware — Critical Finding</t>
  </si>
  <si>
    <t xml:space="preserve">Bakeware is a 392-record catalogue where 390 are out of stock — and live verification (Aug 19 2026) found BOTH remaining 'in stock' items actually display a 'Sold Out' button, a genuine site data-integrity issue. The category has also lost its ₹550-950 entry price ladder (current floor is ₹1,750), and Nestasia's own copy suggests the real proposition may be 'Bake → Serve → Host → Gift' rather than technical baking performance. See the 8 dedicated Bakeware tabs for full analysis, founder questions, and market sizing.</t>
  </si>
  <si>
    <t xml:space="preserve">Container — Cross-Platform Finding</t>
  </si>
  <si>
    <t xml:space="preserve">Cross-Team Discrepancy — Needs Reconciliation</t>
  </si>
  <si>
    <t xml:space="preserve">Nimish's 'Glass Food Storage Containers' (90 SKUs) and Khushi's 'Fridge/Food Storage Containers' (77 SKUs) share the IDENTICAL hero SKU (Groovo Borosilicate Premium Food Container Set of 7) and near-identical price range — almost certainly the same underlying collection, counted differently by two researchers. This also surfaces an ownership-boundary question: this collection appears in both Nimish's Lunch Boxes+Bags scope and Khushi's Container scope. Recommend the team reconcile the count and confirm single ownership before this goes into the AI knowledge base — an inconsistent SKU count for the same collection is exactly the kind of catalogue-metadata problem flagged elsewhere in this workbook (see Bakeware — Category Audit, Glass/glass tag-normalization finding).</t>
  </si>
  <si>
    <t xml:space="preserve">SITE-WIDE BUG — Highest Priority Technical Finding</t>
  </si>
  <si>
    <t xml:space="preserve">UPDATED: now confirmed in FIVE separate collections, not three. Bakeware (2/2 'in stock' SKUs show 'Sold Out'), Kitchen Racks (1/1), Trivets (8/8), Lunch Boxes (18/18), and Lunch Bags (all sampled SKUs). Every single collection checked across this entire project shows the same pattern with zero exceptions — this is conclusively a SITE-WIDE inventory-sync or Shopify-configuration bug affecting the reliability of every 'in stock' badge on nestasia.in. This should be escalated to Nestasia's tech/ops team as the single highest-priority technical finding across the whole project — see Data Quality Audit tab for full detail.</t>
  </si>
  <si>
    <t xml:space="preserve">Workbook Navigation — Consistent 4-Sheet Template Per Category</t>
  </si>
  <si>
    <t xml:space="preserve">Every category below follows the SAME 4-sheet structure — Analysis, Competitors, Channels, Insights — so navigation is identical no matter which category you're looking at. Each sheet begins with a '▶ SOURCE:' divider showing which original research tab that section came from, preserving full provenance after consolidation.</t>
  </si>
  <si>
    <t xml:space="preserve">Tab</t>
  </si>
  <si>
    <t xml:space="preserve">Contents</t>
  </si>
  <si>
    <t xml:space="preserve">— FRONT MATTER —</t>
  </si>
  <si>
    <t xml:space="preserve">Summary</t>
  </si>
  <si>
    <t xml:space="preserve">This overview</t>
  </si>
  <si>
    <t xml:space="preserve">Data Quality Audit</t>
  </si>
  <si>
    <t xml:space="preserve">Cross-category richness comparison + the site-wide 'Sold Out despite In-stock tag' bug (confirmed 5x)</t>
  </si>
  <si>
    <t xml:space="preserve">— COOKWARE &amp; UTENSILS (You) —</t>
  </si>
  <si>
    <t xml:space="preserve">Cookware - Analysis</t>
  </si>
  <si>
    <t xml:space="preserve">SKU/price/reviews/hero/discount/bundling table, subcategory breakdown, strategic frameworks, data limitations</t>
  </si>
  <si>
    <t xml:space="preserve">Cookware - Competitors</t>
  </si>
  <si>
    <t xml:space="preserve">SKU comparison across 8 brands, subcategory-level competitor breakdown, direct &amp; indirect competitors</t>
  </si>
  <si>
    <t xml:space="preserve">Cookware - Channels</t>
  </si>
  <si>
    <t xml:space="preserve">qCommerce (5 platforms), pricing &amp; discount patterns</t>
  </si>
  <si>
    <t xml:space="preserve">Cookware - Insights</t>
  </si>
  <si>
    <t xml:space="preserve">Review/sentiment synthesis, 9 founder questions</t>
  </si>
  <si>
    <t xml:space="preserve">— BAKEWARE (Gandhi) —</t>
  </si>
  <si>
    <t xml:space="preserve">Bakeware - Analysis</t>
  </si>
  <si>
    <t xml:space="preserve">392-record catalogue audit (2/2 'Sold Out' finding), price-ladder collapse, JTBD reframe</t>
  </si>
  <si>
    <t xml:space="preserve">Bakeware - Competitors</t>
  </si>
  <si>
    <t xml:space="preserve">Borosil, Home Centre, IKEA, Freedom Tree (live-verified), Ellementry</t>
  </si>
  <si>
    <t xml:space="preserve">Bakeware - Channels</t>
  </si>
  <si>
    <t xml:space="preserve">qCommerce fit analysis — why price point matters more than category</t>
  </si>
  <si>
    <t xml:space="preserve">Bakeware - Insights</t>
  </si>
  <si>
    <t xml:space="preserve">Ceramic-vs-glass hypothesis, TAM/SAM market sizing, CJM &amp; cannibalisation, 12 founder questions + brand story</t>
  </si>
  <si>
    <t xml:space="preserve">— CONTAINER (Khushi) —</t>
  </si>
  <si>
    <t xml:space="preserve">Container - Analysis</t>
  </si>
  <si>
    <t xml:space="preserve">Storage Jars (99) + Fridge Containers (77) SKU data, market-understanding frameworks</t>
  </si>
  <si>
    <t xml:space="preserve">Container - Competitors</t>
  </si>
  <si>
    <t xml:space="preserve">7-brand comparison (Milton, Cello, Signoraware, Home Centre, Tupperware, Treo)</t>
  </si>
  <si>
    <t xml:space="preserve">Container - Channels</t>
  </si>
  <si>
    <t xml:space="preserve">E-commerce vs Q-commerce full comparison (Amazon/Flipkart/Myntra vs Blinkit/Zepto/Instamart), AOV modelling</t>
  </si>
  <si>
    <t xml:space="preserve">Container - Insights</t>
  </si>
  <si>
    <t xml:space="preserve">5 founder questions</t>
  </si>
  <si>
    <t xml:space="preserve">— LUNCH BOXES + LUNCH BAGS (Nimish) —</t>
  </si>
  <si>
    <t xml:space="preserve">LunchBox+Bag - Analysis</t>
  </si>
  <si>
    <t xml:space="preserve">RIGOR-PASS CORRECTED: Lunch Bags 16→59 SKUs, Lunch Boxes hidden sub-collection fragmentation mapped</t>
  </si>
  <si>
    <t xml:space="preserve">LunchBox+Bag - Competitors</t>
  </si>
  <si>
    <t xml:space="preserve">7-brand comparison (Milton, Cello, Signoraware, Home Centre, Westside, Treo)</t>
  </si>
  <si>
    <t xml:space="preserve">LunchBox+Bag - Channels</t>
  </si>
  <si>
    <t xml:space="preserve">qCommerce confirmed (Blinkit) — Nestasia as premium-priced outlier pattern</t>
  </si>
  <si>
    <t xml:space="preserve">LunchBox+Bag - Insights</t>
  </si>
  <si>
    <t xml:space="preserve">5-point data limitations section</t>
  </si>
  <si>
    <t xml:space="preserve">— KITCHEN RACKS + TRIVETS (previously unassigned) —</t>
  </si>
  <si>
    <t xml:space="preserve">Racks+Trivets - Analysis</t>
  </si>
  <si>
    <t xml:space="preserve">1 SKU Kitchen Racks + 8 SKU Trivets, both 100% 'Sold Out' despite in-stock tags</t>
  </si>
  <si>
    <t xml:space="preserve">Racks+Trivets - Competitors</t>
  </si>
  <si>
    <t xml:space="preserve">Home Centre, IKEA (400-900+ reviews vs Nestasia's near-zero), fragmented unbranded market</t>
  </si>
  <si>
    <t xml:space="preserve">Racks+Trivets - Channels</t>
  </si>
  <si>
    <t xml:space="preserve">Gap — not yet researched, flagged as a next step</t>
  </si>
  <si>
    <t xml:space="preserve">Racks+Trivets - Insights</t>
  </si>
  <si>
    <t xml:space="preserve">Gap — category too small to warrant market sizing; founder questions not yet drafted</t>
  </si>
  <si>
    <t xml:space="preserve">— BACK MATTER —</t>
  </si>
  <si>
    <t xml:space="preserve">Sources</t>
  </si>
  <si>
    <t xml:space="preserve">All URLs and platforms referenced across all 5 categories</t>
  </si>
  <si>
    <t xml:space="preserve">Cross-Category Data Quality Audit</t>
  </si>
  <si>
    <t xml:space="preserve">Comparing richness, verification depth, and rigor across all 5 Kitchen subcategories | Aug 19 2026</t>
  </si>
  <si>
    <t xml:space="preserve">Quantitative Comparison</t>
  </si>
  <si>
    <t xml:space="preserve">Metric</t>
  </si>
  <si>
    <t xml:space="preserve">Cookware &amp; Utensils</t>
  </si>
  <si>
    <t xml:space="preserve">Bakeware</t>
  </si>
  <si>
    <t xml:space="preserve">Container</t>
  </si>
  <si>
    <t xml:space="preserve">Lunch Boxes+Bags</t>
  </si>
  <si>
    <t xml:space="preserve">Kitchen Racks+Trivets</t>
  </si>
  <si>
    <t xml:space="preserve">Dedicated tabs</t>
  </si>
  <si>
    <t xml:space="preserve">3</t>
  </si>
  <si>
    <t xml:space="preserve">8</t>
  </si>
  <si>
    <t xml:space="preserve">2</t>
  </si>
  <si>
    <t xml:space="preserve">2 (this update)</t>
  </si>
  <si>
    <t xml:space="preserve">Total populated data cells (proxy for depth)</t>
  </si>
  <si>
    <t xml:space="preserve">168</t>
  </si>
  <si>
    <t xml:space="preserve">300</t>
  </si>
  <si>
    <t xml:space="preserve">214</t>
  </si>
  <si>
    <t xml:space="preserve">130 (was 109 — rigor pass added)</t>
  </si>
  <si>
    <t xml:space="preserve">76</t>
  </si>
  <si>
    <t xml:space="preserve">Live-verification language used?</t>
  </si>
  <si>
    <t xml:space="preserve">Partial</t>
  </si>
  <si>
    <t xml:space="preserve">Extensive</t>
  </si>
  <si>
    <t xml:space="preserve">YES — full rigor pass completed Aug 19</t>
  </si>
  <si>
    <t xml:space="preserve">Yes — 3 collections directly fetched</t>
  </si>
  <si>
    <t xml:space="preserve">Explicit hedging / 'unconfirmed' markers</t>
  </si>
  <si>
    <t xml:space="preserve">22 confirmed + 8 unconfirmed</t>
  </si>
  <si>
    <t xml:space="preserve">38 confirmed</t>
  </si>
  <si>
    <t xml:space="preserve">9 confirmed</t>
  </si>
  <si>
    <t xml:space="preserve">9 confirmed (was 0)</t>
  </si>
  <si>
    <t xml:space="preserve">8 confirmed</t>
  </si>
  <si>
    <t xml:space="preserve">qCommerce coverage</t>
  </si>
  <si>
    <t xml:space="preserve">Yes (5 platforms)</t>
  </si>
  <si>
    <t xml:space="preserve">Partial (fit analysis)</t>
  </si>
  <si>
    <t xml:space="preserve">Yes (3 platforms, full table)</t>
  </si>
  <si>
    <t xml:space="preserve">YES (Blinkit confirmed, was 'None')</t>
  </si>
  <si>
    <t xml:space="preserve">Not yet checked — remaining gap</t>
  </si>
  <si>
    <t xml:space="preserve">Market sizing (TAM/SAM)</t>
  </si>
  <si>
    <t xml:space="preserve">None</t>
  </si>
  <si>
    <t xml:space="preserve">Yes (labeled secondary-source)</t>
  </si>
  <si>
    <t xml:space="preserve">None — category too small to warrant</t>
  </si>
  <si>
    <t xml:space="preserve">Founder questions section</t>
  </si>
  <si>
    <t xml:space="preserve">Yes (9 questions)</t>
  </si>
  <si>
    <t xml:space="preserve">Yes (12 questions)</t>
  </si>
  <si>
    <t xml:space="preserve">YES (5 questions, was None)</t>
  </si>
  <si>
    <t xml:space="preserve">None — recommended next step</t>
  </si>
  <si>
    <t xml:space="preserve">Data limitations section</t>
  </si>
  <si>
    <t xml:space="preserve">YES (added, was None)</t>
  </si>
  <si>
    <t xml:space="preserve">Embedded in each tab</t>
  </si>
  <si>
    <t xml:space="preserve">Yes (9-point section)</t>
  </si>
  <si>
    <t xml:space="preserve">YES (5-point section, was None)</t>
  </si>
  <si>
    <t xml:space="preserve">Competitors analyzed</t>
  </si>
  <si>
    <t xml:space="preserve">8 brands</t>
  </si>
  <si>
    <t xml:space="preserve">5 brands</t>
  </si>
  <si>
    <t xml:space="preserve">7 brands</t>
  </si>
  <si>
    <t xml:space="preserve">3 brands (Home Centre, IKEA, unbranded market)</t>
  </si>
  <si>
    <t xml:space="preserve">Verdict</t>
  </si>
  <si>
    <t xml:space="preserve">UPDATED VERDICT (post rigor-pass): The richness gradient has been substantially closed. Lunch Boxes+Bags went from 0 rigor markers to 9 confirmed + a full data-limitations section + live re-verification that caught major SKU-count errors (Lunch Bags: 16→59 actual, a 3.7x correction). Container gained a 5-question founder-questions section, matching Bakeware's pattern. Cookware &amp; Utensils gained an explicit data-limitations section. Kitchen Racks+Trivets remains the newest and smallest category (9 combined SKUs) — genuinely too small to need market-sizing or founder-questions sections at the same depth as larger categories, though a qCommerce check remains a reasonable next step given the pattern found in the other four categories. Bakeware remains the deepest tab-by-tab, but every category now has: live verification, explicit hedging, and a clear audit trail of what is confirmed vs. assumed.</t>
  </si>
  <si>
    <t xml:space="preserve">Site-Wide Pattern: The 'Sold Out Despite In-Stock Tag' Bug</t>
  </si>
  <si>
    <t xml:space="preserve">This project has now independently confirmed the SAME data-integrity bug in THREE separate collections, checked at different times: Bakeware (2 of 2 'in stock' SKUs show Sold Out), Kitchen Racks (1 of 1 shows Sold Out), and Trivets (8 of 8 show Sold Out). This is no longer a category-specific curiosity — three independent confirmations across unrelated collections make this very likely a SITE-WIDE inventory-sync or Shopify-app-configuration issue, not something specific to any one researcher's category. This is arguably the single most actionable technical finding across the entire project and should be raised with Nestasia's tech/ops team directly, separate from any marketing strategy discussion — every 'in stock' badge on the site may be unreliable until this is fixed.</t>
  </si>
  <si>
    <t xml:space="preserve">Cookware &amp; Utensils — Analysis</t>
  </si>
  <si>
    <t xml:space="preserve">Own-category SKU data, pricing, reviews, hero SKUs, and market-understanding frameworks</t>
  </si>
  <si>
    <t xml:space="preserve">▶ SOURCE: Cookware &amp; Utensils Benchmark</t>
  </si>
  <si>
    <t xml:space="preserve">Nestasia Live Project — Kitchen Category — Cookware &amp; Utensils</t>
  </si>
  <si>
    <t xml:space="preserve">Subcategory-level benchmark matching team template | Live data pulled Aug 2026</t>
  </si>
  <si>
    <t xml:space="preserve">Subcategory</t>
  </si>
  <si>
    <t xml:space="preserve">No. of SKUs</t>
  </si>
  <si>
    <t xml:space="preserve">Price Range</t>
  </si>
  <si>
    <t xml:space="preserve">Reviews</t>
  </si>
  <si>
    <t xml:space="preserve">Hero SKUs</t>
  </si>
  <si>
    <t xml:space="preserve">Discount</t>
  </si>
  <si>
    <t xml:space="preserve">Sales/Bundling Strategies</t>
  </si>
  <si>
    <t xml:space="preserve">Remarks/Extra Observation</t>
  </si>
  <si>
    <t xml:space="preserve">Cookware (overall)</t>
  </si>
  <si>
    <t xml:space="preserve">₹910 – ₹5,095</t>
  </si>
  <si>
    <t xml:space="preserve">1-3 reviews typical per SKU, feels filtered/sparse like Lunch Boxes</t>
  </si>
  <si>
    <t xml:space="preserve">Tri Ply SS Kadai Wok With Lid 3500ml — https://nestasia.in/products/tri-ply-stainless-steel-kadai-wok-with-lid-3500ml (site 'top badge' bestseller flag)</t>
  </si>
  <si>
    <t xml:space="preserve">23%-64% Off, concentrated 35-50%</t>
  </si>
  <si>
    <t xml:space="preserve">Cross-sells lunch hampers &amp; jute lunch bags on cookware pages — same cross-category pattern as Lunch Boxes' thermal-bag cross-sell</t>
  </si>
  <si>
    <t xml:space="preserve">4 SKUs carry visible internal bestseller badges (custom_collection_top/bottom_badge) — Nestasia does flag heroes internally, just not in visible text</t>
  </si>
  <si>
    <t xml:space="preserve">Stainless Steel Cookware</t>
  </si>
  <si>
    <t xml:space="preserve">₹1,345 – ₹2,395 (sampled)</t>
  </si>
  <si>
    <t xml:space="preserve">0-3 reviews</t>
  </si>
  <si>
    <t xml:space="preserve">Tri Ply SS Kadai Wok 3500ml (₹2,395, 40% Off)</t>
  </si>
  <si>
    <t xml:space="preserve">33%-47% Off</t>
  </si>
  <si>
    <t xml:space="preserve">Tri-ply/honeycomb tech claims used as trust-building copy, same pattern as glass cookware's 'borosilicate' claims</t>
  </si>
  <si>
    <t xml:space="preserve">Positioned as the 'daily Indian cooking' default in Nestasia's own buying-guide copy</t>
  </si>
  <si>
    <t xml:space="preserve">Cooking Pot (Glass/Ceramic/Brass)</t>
  </si>
  <si>
    <t xml:space="preserve">₹910 – ₹4,190</t>
  </si>
  <si>
    <t xml:space="preserve">1 review typical, low volume</t>
  </si>
  <si>
    <t xml:space="preserve">Glass Curry Pot 1500ml — https://nestasia.in/products/glass-curry-pot (₹1,350, 49% Off, top badge)</t>
  </si>
  <si>
    <t xml:space="preserve">23%-64% Off, several at 55%+</t>
  </si>
  <si>
    <t xml:space="preserve">'People also saw' cross-sells Casseroles + Storage Jars + Lunch Hampers, not vertical cookware sets</t>
  </si>
  <si>
    <t xml:space="preserve">No 'Set of 2/3' bundling like Containers — cookware sells mostly as singles</t>
  </si>
  <si>
    <t xml:space="preserve">Cast Iron Cookware</t>
  </si>
  <si>
    <t xml:space="preserve">Not fully sampled</t>
  </si>
  <si>
    <t xml:space="preserve">0 reviews on most SKUs</t>
  </si>
  <si>
    <t xml:space="preserve">Not identified in this pass</t>
  </si>
  <si>
    <t xml:space="preserve">Not sampled</t>
  </si>
  <si>
    <t xml:space="preserve">—</t>
  </si>
  <si>
    <t xml:space="preserve">Smallest subtype; earlier research flagged coating-fade complaints on Flipkart specifically for cast iron</t>
  </si>
  <si>
    <t xml:space="preserve">Saucepans (hidden collection)</t>
  </si>
  <si>
    <t xml:space="preserve">₹1,090 – ₹1,895 (sampled)</t>
  </si>
  <si>
    <t xml:space="preserve">0-1 reviews</t>
  </si>
  <si>
    <t xml:space="preserve">Minimalist Glass Saucepan With Wooden Handle 1800ml (₹1,195, 61% Off — deepest discount in Cookware)</t>
  </si>
  <si>
    <t xml:space="preserve">34%-61% Off</t>
  </si>
  <si>
    <t xml:space="preserve">Sits outside main Cookware page filter — same structural gap as Milton's Casseroles</t>
  </si>
  <si>
    <t xml:space="preserve">Confirms real cookware count ≈92 (84 main + 8 Saucepans), not 84 alone</t>
  </si>
  <si>
    <t xml:space="preserve">Casseroles (hidden collection)</t>
  </si>
  <si>
    <t xml:space="preserve">₹1,290 – ₹2,145 (sampled)</t>
  </si>
  <si>
    <t xml:space="preserve">Tri Ply SS Casserole Pot With Lid 3000ml (₹2,145, 47% Off)</t>
  </si>
  <si>
    <t xml:space="preserve">28%-47% Off</t>
  </si>
  <si>
    <t xml:space="preserve">Cross-sells heavily with Cookware page 'People also saw'</t>
  </si>
  <si>
    <t xml:space="preserve">Same Milton-style sibling-collection quirk identified earlier in this project</t>
  </si>
  <si>
    <t xml:space="preserve">Kitchen Tools (overall)</t>
  </si>
  <si>
    <t xml:space="preserve">₹169 – ₹2,350</t>
  </si>
  <si>
    <t xml:space="preserve">0-2 reviews typical, sparse</t>
  </si>
  <si>
    <t xml:space="preserve">Stainless Steel Curd Strainer 1000ml — https://nestasia.in/products/stainless-steel-curd-strainer-1000ml (₹559, 38% Off, BOTH badges — strongest bestseller signal found)</t>
  </si>
  <si>
    <t xml:space="preserve">36%-44% Off, tighter band than Cookware</t>
  </si>
  <si>
    <t xml:space="preserve">'Set of 8' bundling on Measuring Cups &amp; Spoons (₹390) — AOV-via-bundling, same logic as Lunch Boxes' compartment sets</t>
  </si>
  <si>
    <t xml:space="preserve">Lowest price floor in entire scope: ₹169 Stainless Steel Coconut Opener — Nestasia's true entry-price product</t>
  </si>
  <si>
    <t xml:space="preserve">Gap-Fill Summary (vs. original request)</t>
  </si>
  <si>
    <t xml:space="preserve">Identified via site's own internal badge system (custom_collection_top_badge / bottom_badge) — a bestseller flag Nestasia uses but never labels in visible text. Strongest signal: Stainless Steel Curd Strainer carries both badges simultaneously.</t>
  </si>
  <si>
    <t xml:space="preserve">Subcategory price/review breakdown</t>
  </si>
  <si>
    <t xml:space="preserve">Done above — replaces the single blended brand-level range previously in the workbook.</t>
  </si>
  <si>
    <t xml:space="preserve">Bundling strategy</t>
  </si>
  <si>
    <t xml:space="preserve">Cookware bundles CROSS-category (casseroles/jars/hampers cross-sold on cookware pages), not WITHIN-category like Lunch Boxes' compartment variants. Kitchen Tools does show internal bundling (Measuring Cups &amp; Spoons Set of 8).</t>
  </si>
  <si>
    <t xml:space="preserve">qCommerce sweep</t>
  </si>
  <si>
    <t xml:space="preserve">CONFIRMED — Nestasia has a live Blinkit brand page (blinkit.com/brand/nestasia) with ceramic serving pot, bowl set, and cutlery set listings. Also confirmed on Myntra (myntra.com/nestasia-cookware). Neither channel was in the original workbook.</t>
  </si>
  <si>
    <t xml:space="preserve">Note: Price ranges and review counts marked 'sampled' reflect a representative pull of products from each subcategory page, not a full census of every SKU — full per-SKU extraction would require the review-extraction pipeline built earlier in this project. SKU counts (84 Cookware, 69 Kitchen Tools) reflect live site data at time of this pull and differ slightly from the earlier snapshot (81/69) due to routine inventory changes.</t>
  </si>
  <si>
    <t xml:space="preserve">Rigor Corrections (applied after reviewing team's Bakeware methodology)</t>
  </si>
  <si>
    <t xml:space="preserve">Original claim</t>
  </si>
  <si>
    <t xml:space="preserve">'4 SKUs carry visible internal bestseller badges... strongest bestseller signal found'</t>
  </si>
  <si>
    <t xml:space="preserve">Problem</t>
  </si>
  <si>
    <t xml:space="preserve">The badge tags (custom_collection_top_badge / bottom_badge) were treated as proof of bestseller status. Their actual meaning was never confirmed — could equally be 'new,' 'editor's pick,' a manual merchandiser flag, or something else entirely.</t>
  </si>
  <si>
    <t xml:space="preserve">Corrected framing</t>
  </si>
  <si>
    <t xml:space="preserve">These SKUs carry an internal badge tag whose meaning is UNCONFIRMED. Worth asking the founder directly what it signifies before treating any of these as proven heroes — same discipline as the Bakeware team's approach to review counts vs. sales.</t>
  </si>
  <si>
    <t xml:space="preserve">SKU count moved 81→84 for Cookware, attributed to 'routine inventory changes'</t>
  </si>
  <si>
    <t xml:space="preserve">A cause was asserted with zero supporting evidence. Could equally be a catalog correction, new launches, reactivated SKUs, or a counting discrepancy in the earlier pass.</t>
  </si>
  <si>
    <t xml:space="preserve">Count differs from the earlier pull (81 vs 84). Cause UNCONFIRMED — could be inventory changes, catalog corrections, or new SKUs. Worth verifying with the founder/site team rather than assuming routine drift.</t>
  </si>
  <si>
    <t xml:space="preserve">'Real cookware count is ≈92 (84 main + 8 Saucepans)' — presented fairly confidently in later summaries</t>
  </si>
  <si>
    <t xml:space="preserve">The overlap risk between Saucepans/Casseroles and the main Cookware page's 'Cooking Pot' type was flagged once early in the project, but later summaries restated ≈92 without re-surfacing that hedge.</t>
  </si>
  <si>
    <t xml:space="preserve">The ≈92 figure assumes minimal overlap between the main Cookware page and the Saucepans/Casseroles sibling collections. This has NOT been confirmed by checking individual product IDs across both. The true unique count could be materially lower if overlap is substantial — flag this hedge every time the number is cited, not just once.</t>
  </si>
  <si>
    <t xml:space="preserve">New observation, applying the Bakeware team's ceramic-vs-glass lens</t>
  </si>
  <si>
    <t xml:space="preserve">Nestasia's marketing copy pushes the 'non-toxic/chemical-free' angle hardest for Cast Iron, Ceramic, and Stainless Steel cookware — but Glass cookware's own copy leans on transparency/convenience language instead, not the health angle.</t>
  </si>
  <si>
    <t xml:space="preserve">Why this matters</t>
  </si>
  <si>
    <t xml:space="preserve">This is the same material-messaging-split pattern the Bakeware analysis caught between ceramic and glass — and it was NOT investigated for Cookware. Worth asking the founder the same question asked for Bakeware: is this a deliberate portfolio split (health-positioned materials vs. convenience-positioned materials), or incidental copywriting?</t>
  </si>
  <si>
    <t xml:space="preserve">Data Limitations (NEW — bringing this tab to Container/Bakeware standard)</t>
  </si>
  <si>
    <t xml:space="preserve">1. SKU counts (84 Cookware, 69 Kitchen Tools) reflect live site-filter totals at a single point in time (Aug 2026) — these fluctuate and differ slightly from an earlier pull in this same project (81/69), cause unconfirmed.</t>
  </si>
  <si>
    <t xml:space="preserve">2. The 'in stock' filter tag was NOT independently checked against actual 'Sold Out' button state for Cookware/Kitchen Tools collections specifically in the original pass — given the site-wide bug confirmed in 5 OTHER categories (Bakeware, Kitchen Racks, Trivets, Lunch Boxes, Lunch Bags), it is highly likely the same issue affects some or all Cookware/Kitchen Tools SKUs too. This should be treated as an open verification item, not assumed either way.</t>
  </si>
  <si>
    <t xml:space="preserve">3. Hero-SKU identification relies on an internal badge-tag system (custom_collection_top_badge/bottom_badge) whose actual meaning was never confirmed with Nestasia — treat as a hypothesis, not a confirmed bestseller signal.</t>
  </si>
  <si>
    <t xml:space="preserve">4. Review counts are sampled from visible collection-page snippets, not verified via individual PDP checks at scale.</t>
  </si>
  <si>
    <t xml:space="preserve">5. qCommerce price comparisons (Blinkit/Zepto/Instamart) are based on small samples of visible product listings, not a systematic full-catalogue sweep.</t>
  </si>
  <si>
    <t xml:space="preserve">6. The Saucepans (8) and Casseroles (12) SKU counts for the 'real' cookware total (~92) assume minimal overlap with the main Cookware page's 'Cooking Pot' type — this has NOT been confirmed via product-ID-level deduplication.</t>
  </si>
  <si>
    <t xml:space="preserve">▶ SOURCE: Nestasia Subcategories</t>
  </si>
  <si>
    <t xml:space="preserve">Nestasia — Full Subcategory SKU Breakdown</t>
  </si>
  <si>
    <t xml:space="preserve">Cookware, Kitchen Tools/Utensils, and previously-missed Saucepans &amp; Casseroles collections</t>
  </si>
  <si>
    <t xml:space="preserve">Cookware (main /collections/cookware page — Type filter)</t>
  </si>
  <si>
    <t xml:space="preserve">SKUs</t>
  </si>
  <si>
    <t xml:space="preserve">% of Total</t>
  </si>
  <si>
    <t xml:space="preserve">Notes</t>
  </si>
  <si>
    <t xml:space="preserve">Cooking Pot</t>
  </si>
  <si>
    <t xml:space="preserve">Largest single subtype — glass, ceramic, brass pots</t>
  </si>
  <si>
    <t xml:space="preserve">Tri-ply kadai, casserole, frying pan, saucepan tagged as SS</t>
  </si>
  <si>
    <t xml:space="preserve">Kadhai, tawa, paniyaram pan, skillet</t>
  </si>
  <si>
    <t xml:space="preserve">Platter</t>
  </si>
  <si>
    <t xml:space="preserve">Single SKU, likely miscategorized/edge case</t>
  </si>
  <si>
    <t xml:space="preserve">Subtotal (main Cookware page)</t>
  </si>
  <si>
    <t xml:space="preserve">Confirmed Separate Collections (NOT in main Cookware page count)</t>
  </si>
  <si>
    <t xml:space="preserve">Collection</t>
  </si>
  <si>
    <t xml:space="preserve">Overlap Risk</t>
  </si>
  <si>
    <t xml:space="preserve">Saucepans (/collections/saucepans)</t>
  </si>
  <si>
    <t xml:space="preserve">Possible partial overlap with 'Cooking Pot'</t>
  </si>
  <si>
    <t xml:space="preserve">Confirmed via direct fetch — dedicated landing page, all glass/steel saucepans</t>
  </si>
  <si>
    <t xml:space="preserve">Casseroles (/collections/casseroles)</t>
  </si>
  <si>
    <t xml:space="preserve">Confirmed via direct fetch — all Stainless Steel, insulated hot-pot style, sits as sibling to Cookware in main nav</t>
  </si>
  <si>
    <t xml:space="preserve">Subtotal (separate collections)</t>
  </si>
  <si>
    <t xml:space="preserve">Reconciled Cookware Total</t>
  </si>
  <si>
    <t xml:space="preserve">Scenario</t>
  </si>
  <si>
    <t xml:space="preserve">Basis</t>
  </si>
  <si>
    <t xml:space="preserve">Unadjusted (fully additive)</t>
  </si>
  <si>
    <t xml:space="preserve">Assumes zero overlap between main page and Saucepans/Casseroles</t>
  </si>
  <si>
    <t xml:space="preserve">Conservative estimate (partial overlap)</t>
  </si>
  <si>
    <t xml:space="preserve">~85-95</t>
  </si>
  <si>
    <t xml:space="preserve">Most likely real unique-SKU figure; some Saucepan/Casserole items may already tag as 'Cooking Pot'</t>
  </si>
  <si>
    <t xml:space="preserve">Kitchen Tools / Utensils (main /collections/kitchen-tools page)</t>
  </si>
  <si>
    <t xml:space="preserve">Kitchen Tool (general)</t>
  </si>
  <si>
    <t xml:space="preserve">Choppers, graters, strainers, ladles, tongs — largest bucket</t>
  </si>
  <si>
    <t xml:space="preserve">Oil Dispenser</t>
  </si>
  <si>
    <t xml:space="preserve">Second largest bucket — heavily merchandised category</t>
  </si>
  <si>
    <t xml:space="preserve">Apron</t>
  </si>
  <si>
    <t xml:space="preserve">Measuring Spoon</t>
  </si>
  <si>
    <t xml:space="preserve">Butter Dish</t>
  </si>
  <si>
    <t xml:space="preserve">Measuring Cup</t>
  </si>
  <si>
    <t xml:space="preserve">Salt Pepper Cellar</t>
  </si>
  <si>
    <t xml:space="preserve">Cutlery Holder</t>
  </si>
  <si>
    <t xml:space="preserve">Gift Hamper</t>
  </si>
  <si>
    <t xml:space="preserve">Cross-category — bundled gifting SKU</t>
  </si>
  <si>
    <t xml:space="preserve">Subtotal (Kitchen Tools)</t>
  </si>
  <si>
    <t xml:space="preserve">Structural observation: Nestasia's cookware taxonomy is organized primarily by MATERIAL (Cast Iron, Stainless Steel) and FORM (Cooking Pot, Platter) rather than by cooking-vessel TYPE (kadhai, tawa, sauce pan, fry pan) — the taxonomy every functional competitor (Prestige, Milton, Wonderchef) uses as its primary organizing structure. This reflects an aesthetic/material-first merchandising logic rather than a daily-use-vessel logic.</t>
  </si>
  <si>
    <t xml:space="preserve">▶ SOURCE: Strategic Frameworks</t>
  </si>
  <si>
    <t xml:space="preserve">Strategic Frameworks</t>
  </si>
  <si>
    <t xml:space="preserve">Product Proposition · Consumer Segments · Customer Journey Map · Traditional vs. New-Market-Creation</t>
  </si>
  <si>
    <t xml:space="preserve">A. Product Proposition</t>
  </si>
  <si>
    <t xml:space="preserve">Core proposition</t>
  </si>
  <si>
    <t xml:space="preserve">"Cookware you'd want to display, not hide." Competes on aesthetics/gifting/design, not cooking performance.</t>
  </si>
  <si>
    <t xml:space="preserve">Functional layer</t>
  </si>
  <si>
    <t xml:space="preserve">Tri-ply steel, honeycomb non-stick, borosilicate glass — legitimate material/technology claims to earn baseline trust</t>
  </si>
  <si>
    <t xml:space="preserve">Aesthetic layer</t>
  </si>
  <si>
    <t xml:space="preserve">Colour, pattern, shape, texture as core, SEARCHABLE SKU attributes — not standard for a cookware category</t>
  </si>
  <si>
    <t xml:space="preserve">Gifting/occasion layer</t>
  </si>
  <si>
    <t xml:space="preserve">Nearly every cookware SKU tagged to an occasion (Housewarming, Diwali, Mother's Day) — product's job is to also 'be gift-worthy'</t>
  </si>
  <si>
    <t xml:space="preserve">Net read</t>
  </si>
  <si>
    <t xml:space="preserve">A decor/lifestyle proposition wearing a cookware SKU — not a kitchen-performance proposition. Competes for wallet share against Chumbak/Pepperfry as much as Prestige/Pigeon.</t>
  </si>
  <si>
    <t xml:space="preserve">B. Consumer Segments</t>
  </si>
  <si>
    <t xml:space="preserve">Segment</t>
  </si>
  <si>
    <t xml:space="preserve">Signal</t>
  </si>
  <si>
    <t xml:space="preserve">Behaviour</t>
  </si>
  <si>
    <t xml:space="preserve">Aspirational urban homemaker (25-40)</t>
  </si>
  <si>
    <t xml:space="preserve">Pastel/gold/floral cookware, 'Set of 4/6' bundling, Instagram-native visuals</t>
  </si>
  <si>
    <t xml:space="preserve">Buys for kitchen aesthetics, browses Pinterest/Instagram before purchase</t>
  </si>
  <si>
    <t xml:space="preserve">First-time home setter-uppers</t>
  </si>
  <si>
    <t xml:space="preserve">Housewarming tag on 77/81 (95%) of cookware SKUs</t>
  </si>
  <si>
    <t xml:space="preserve">Bulk-buying at life-stage moment; price-sensitive but wants everything to match</t>
  </si>
  <si>
    <t xml:space="preserve">Gift buyer, not end-user</t>
  </si>
  <si>
    <t xml:space="preserve">Anniversary/Wedding/Trousseau/Mother's Day tagging on majority of SKUs</t>
  </si>
  <si>
    <t xml:space="preserve">Buys as curated gift; cares about unboxing/packaging, not induction compatibility</t>
  </si>
  <si>
    <t xml:space="preserve">Design-conscious but budget-conscious</t>
  </si>
  <si>
    <t xml:space="preserve">30-45% discount concentration, layered coupon codes</t>
  </si>
  <si>
    <t xml:space="preserve">Price-anchored on the 'off' number, not the absolute price</t>
  </si>
  <si>
    <t xml:space="preserve">C. Customer Journey Map (CJM)</t>
  </si>
  <si>
    <t xml:space="preserve">Stage</t>
  </si>
  <si>
    <t xml:space="preserve">What Happens</t>
  </si>
  <si>
    <t xml:space="preserve">Evidence/Notes</t>
  </si>
  <si>
    <t xml:space="preserve">1. Awareness</t>
  </si>
  <si>
    <t xml:space="preserve">Instagram/Pinterest discovery — aesthetic-led, not need-led</t>
  </si>
  <si>
    <t xml:space="preserve">Brand 'discovered while doom-scrolling Instagram', associated with curated Pinterest-board aesthetics</t>
  </si>
  <si>
    <t xml:space="preserve">2. Consideration</t>
  </si>
  <si>
    <t xml:space="preserve">Category page functions as buying guide — material education (cast iron vs ceramic vs glass, care tips, FAQs)</t>
  </si>
  <si>
    <t xml:space="preserve">Suggests Nestasia knows its buyer needs hand-holding on functional claims since trust is built on aesthetics, not category expertise</t>
  </si>
  <si>
    <t xml:space="preserve">3. Decision trigger</t>
  </si>
  <si>
    <t xml:space="preserve">Heavy reliance on visible discount depth (30-64% shown) + coupon stacking</t>
  </si>
  <si>
    <t xml:space="preserve">Classic urgency/value-perception mechanic</t>
  </si>
  <si>
    <t xml:space="preserve">4. Purchase</t>
  </si>
  <si>
    <t xml:space="preserve">Cart-stage upsell: gift card add-on, personalized message (₹20)</t>
  </si>
  <si>
    <t xml:space="preserve">Reinforces that meaningful share of transactions are gift transactions, not self-use</t>
  </si>
  <si>
    <t xml:space="preserve">5. Post-purchase/advocacy</t>
  </si>
  <si>
    <t xml:space="preserve">4.9/5 rating, UGC-driven YouTube haul/unboxing content actively cultivated</t>
  </si>
  <si>
    <t xml:space="preserve">Product designed to be photographed/shown off, extending journey into earned-media loop</t>
  </si>
  <si>
    <t xml:space="preserve">Journey gap</t>
  </si>
  <si>
    <t xml:space="preserve">Little evidence of a repeat-replacement journey (worn-out coating, etc.)</t>
  </si>
  <si>
    <t xml:space="preserve">CJM is aesthetic-discovery-driven and occasion-driven, NOT need-driven-replacement — unusual for cookware, core strategic risk</t>
  </si>
  <si>
    <t xml:space="preserve">D. Traditional Products vs. New-Market-Creation</t>
  </si>
  <si>
    <t xml:space="preserve">Traditional cookware market (Prestige, Pigeon, Hawkins, Vinod, Bajaj, Milton)</t>
  </si>
  <si>
    <t xml:space="preserve">Competes on durability, warranty, induction compatibility, price-per-utility, ISI/BIS certification. Purchase trigger = replacement need or wedding-registry checklist. Cookware evaluated AS A TOOL.</t>
  </si>
  <si>
    <t xml:space="preserve">Nestasia's move</t>
  </si>
  <si>
    <t xml:space="preserve">Blue-ocean play inside a red-ocean category — fuses functional cookware + decorative serveware + gifting into one SKU. Genuine value-innovation: ELIMINATE heavy technical spec marketing, warranty-led trust, bulk price competition; RAISE/CREATE aesthetic variety, occasion-tagging, gift-readiness, cross-category bundling.</t>
  </si>
  <si>
    <t xml:space="preserve">Where genuinely new-market-creating</t>
  </si>
  <si>
    <t xml:space="preserve">Nobody was previously buying a kadai because it matched their dinnerware aesthetic, or as a housewarming gift with a personalized note. Nestasia converts a commodity/replacement-driven category into a discretionary/discovery/gifting-driven one.</t>
  </si>
  <si>
    <t xml:space="preserve">Where still traditional/hybrid</t>
  </si>
  <si>
    <t xml:space="preserve">Technical claims (tri-ply, honeycomb, 304-grade steel) show Nestasia hasn't fully exited the performance battlefield — borrows legitimacy language from traditional players to be trusted as 'real' cookware, not just a decor prop.</t>
  </si>
  <si>
    <t xml:space="preserve">Strategic tension</t>
  </si>
  <si>
    <t xml:space="preserve">Company is 'entering a stage of category diversification beyond home decor and kitchenware' — cookware appears to be ONE proof-point in a broader 'own the aesthetic home' strategy, not a category Nestasia intends to dominate on functional/performance terms. Risk: a functionally-superior, similarly-styled challenger with stronger technical trust could exploit this.</t>
  </si>
  <si>
    <t xml:space="preserve">Cookware &amp; Utensils — Competitors</t>
  </si>
  <si>
    <t xml:space="preserve">Direct and indirect competitor mapping, brand comparison tables</t>
  </si>
  <si>
    <t xml:space="preserve">▶ SOURCE: SKU Comparison</t>
  </si>
  <si>
    <t xml:space="preserve">SKU Count Comparison — Cookware &amp; Utensils/Kitchenware</t>
  </si>
  <si>
    <t xml:space="preserve">Direct (lifestyle/decor) and Indirect (functional cookware) competitors, corrected for hidden sub-collections</t>
  </si>
  <si>
    <t xml:space="preserve">Brand</t>
  </si>
  <si>
    <t xml:space="preserve">Competitor Type</t>
  </si>
  <si>
    <t xml:space="preserve">Cookware SKUs</t>
  </si>
  <si>
    <t xml:space="preserve">Cookware Notes</t>
  </si>
  <si>
    <t xml:space="preserve">Utensils/Kitchenware SKUs</t>
  </si>
  <si>
    <t xml:space="preserve">Combined Total</t>
  </si>
  <si>
    <t xml:space="preserve">Source / Verification Notes</t>
  </si>
  <si>
    <t xml:space="preserve">Nestasia</t>
  </si>
  <si>
    <t xml:space="preserve">Baseline</t>
  </si>
  <si>
    <t xml:space="preserve">Main /cookware page: Cast Iron(6)+Cooking Pot(46)+Platter(1)+SS(28)=81. PLUS separate Saucepans(8) &amp; Casseroles(12) collections not folded into main page filter.</t>
  </si>
  <si>
    <t xml:space="preserve">nestasia.in — direct storefront fetch, Aug 2026. Adjusted range ~85-101 accounting for possible overlap.</t>
  </si>
  <si>
    <t xml:space="preserve">Home Centre</t>
  </si>
  <si>
    <t xml:space="preserve">Direct</t>
  </si>
  <si>
    <t xml:space="preserve">Pots&amp;Pans, Induction, Kadhai&amp;Woks, Tawas, Bakeware, Pressure Cookers, Cookware Sets, Tools&amp;Gadgets, Grill Pan&amp;Griddles — one unified listing, no hidden sub-collections found.</t>
  </si>
  <si>
    <t xml:space="preserve">homecentre.in/in/en/c/kitchen-cooking (236) + /kitchen-kitchenware (261) — direct fetch</t>
  </si>
  <si>
    <t xml:space="preserve">Vaaree</t>
  </si>
  <si>
    <t xml:space="preserve">Direct (marketplace)</t>
  </si>
  <si>
    <t xml:space="preserve">Multi-brand aggregator (Bergner, Vinod, Cumin Co, Solara) — NOT a single-brand D2C catalogue like Nestasia. 'Pots &amp; Cookers' subnav already inside this count, no hidden addition found.</t>
  </si>
  <si>
    <t xml:space="preserve">vaaree.com/collections/cookware — 1,202 products, direct fetch</t>
  </si>
  <si>
    <t xml:space="preserve">Ellementry</t>
  </si>
  <si>
    <t xml:space="preserve">Direct (decor, handcrafted)</t>
  </si>
  <si>
    <t xml:space="preserve">Cookware page = mortar &amp; pestle, chakla belan, curd setter, sprouter, brass frying/tea/tadka pans, roti tong — handcrafted marble/brass/terracotta/wood. Functionally closer to Nestasia's 'utensils' bucket than to steel/tri-ply cookware, but genuine overlap on brass frying pan / tadka pan / tea pan.</t>
  </si>
  <si>
    <t xml:space="preserve">ellementry.com/collections/cookware — 24 products, direct fetch. Separate Bakeware/Organiser/Accessories/Utilities sub-nav not individually counted.</t>
  </si>
  <si>
    <t xml:space="preserve">TTK Prestige</t>
  </si>
  <si>
    <t xml:space="preserve">Indirect (functional)</t>
  </si>
  <si>
    <t xml:space="preserve">Kadhai(54), Fry Pan(35), Roti Tawa(17), Sauce Pan(14), Dosa Tawa(13), Casserole(11), Pots&amp;Pans(10), Grill Pan(6), Idli Cookers(6). Single unified listing — no hidden collection found.</t>
  </si>
  <si>
    <t xml:space="preserve">shop.ttkprestige.com/cookware.html — 'Items 1-16 of 237', direct fetch. Separate Pressure Cooker &amp; Accessories categories not counted.</t>
  </si>
  <si>
    <t xml:space="preserve">Milton ProCook</t>
  </si>
  <si>
    <t xml:space="preserve">Pressure Cooker(13), Cookware Set(13), Kadhai(12), Fry Pan(12), Tawa(10), Sauce Pan(4), Dosa Tawa(3), Grill Pan(2), Casserole(2 only — see gap below).</t>
  </si>
  <si>
    <t xml:space="preserve">milton.in/collections/cookware — 89 products, direct fetch</t>
  </si>
  <si>
    <t xml:space="preserve">Milton — Casseroles (separate)</t>
  </si>
  <si>
    <t xml:space="preserve">CONFIRMED hidden sibling collection — Casseroles sits as its own top-level nav category, same structural gap as Nestasia. Only 2 of these overlap with the 89 above.</t>
  </si>
  <si>
    <t xml:space="preserve">milton.in/collections/casseroles — 25 products, direct fetch. Net addition ≈ +23</t>
  </si>
  <si>
    <t xml:space="preserve">Wonderchef</t>
  </si>
  <si>
    <t xml:space="preserve">Cookware Sets, Tawa, Kadhai&amp;Woks, Frying Pan, Grill Pan, Casseroles, Appakara&amp;Appachetty, Milk Boilers, Sauce Pans, Gas Oven Tandoor, Paniyarakkal, Cook n Serve, Cookers, Tadka Pan — all sub-tabs of ONE listing, no hidden collection found.</t>
  </si>
  <si>
    <t xml:space="preserve">wonderchef.com/collections/cookware-collection — 116 products, direct fetch</t>
  </si>
  <si>
    <t xml:space="preserve">Borosil (MyBorosil)</t>
  </si>
  <si>
    <t xml:space="preserve">6-page paginated listing; exact total not disclosed on page. Casserole &amp; Kadhai already combined as one type filter — no separate hidden collection found.</t>
  </si>
  <si>
    <t xml:space="preserve">myborosil.com/collections/cookware — estimate only, ~150-180 range at standard grid density</t>
  </si>
  <si>
    <t xml:space="preserve">Stahl Kitchens</t>
  </si>
  <si>
    <t xml:space="preserve">Indirect (functional, D2C)</t>
  </si>
  <si>
    <t xml:space="preserve">'All Products' listing = 42, but this INCLUDES spares/accessories (gaskets, valves, handles) and Knives — not pure cookware. Core vessel SKUs (kadhai, frypan, tawa, saucepan, cooker, cast-iron series) estimated ~30-35 after excluding spares/knives. Premium triply pioneer, D2C-only, no legacy retail history.</t>
  </si>
  <si>
    <t xml:space="preserve">stahlkitchens.com/collections/all-products — '42 products found in All Products', direct fetch</t>
  </si>
  <si>
    <t xml:space="preserve">Legend:</t>
  </si>
  <si>
    <t xml:space="preserve">  </t>
  </si>
  <si>
    <t xml:space="preserve">Nestasia (baseline)</t>
  </si>
  <si>
    <t xml:space="preserve">Direct competitor (lifestyle/decor)</t>
  </si>
  <si>
    <t xml:space="preserve">Indirect competitor (functional cookware)</t>
  </si>
  <si>
    <t xml:space="preserve">Note: 'Combined Total' uses formula =Cookware+Utensils where both figures exist. Brands with only a cookware figure disclosed show cookware count only. Vaaree and Borosil totals are not directly comparable to single-brand D2C catalogues (Nestasia, Prestige, Milton, Wonderchef) — see notes column.</t>
  </si>
  <si>
    <t xml:space="preserve">▶ SOURCE: Competitor Subcategories</t>
  </si>
  <si>
    <t xml:space="preserve">Competitor Subcategory SKU Breakdown</t>
  </si>
  <si>
    <t xml:space="preserve">Full vessel-type detail where storefronts disclosed it; category lists only where totals weren't broken out</t>
  </si>
  <si>
    <t xml:space="preserve">Total</t>
  </si>
  <si>
    <t xml:space="preserve">Source Notes</t>
  </si>
  <si>
    <t xml:space="preserve">Kadhai</t>
  </si>
  <si>
    <t xml:space="preserve">shop.ttkprestige.com/cookware.html — Product Type filter facets</t>
  </si>
  <si>
    <t xml:space="preserve">Fry Pan</t>
  </si>
  <si>
    <t xml:space="preserve">Roti Tawa</t>
  </si>
  <si>
    <t xml:space="preserve">Sauce Pan</t>
  </si>
  <si>
    <t xml:space="preserve">Dosa Tawa</t>
  </si>
  <si>
    <t xml:space="preserve">Casserole</t>
  </si>
  <si>
    <t xml:space="preserve">Pots and Pans</t>
  </si>
  <si>
    <t xml:space="preserve">Grill Pan</t>
  </si>
  <si>
    <t xml:space="preserve">Idli Cookers</t>
  </si>
  <si>
    <t xml:space="preserve">Induction Cooktops</t>
  </si>
  <si>
    <t xml:space="preserve">Pressure Cooker</t>
  </si>
  <si>
    <t xml:space="preserve">milton.in/collections/cookware — Product Type filter facets</t>
  </si>
  <si>
    <t xml:space="preserve">Cookware Set</t>
  </si>
  <si>
    <t xml:space="preserve">Tawa</t>
  </si>
  <si>
    <t xml:space="preserve">Casserole (within Cookware pg)</t>
  </si>
  <si>
    <t xml:space="preserve">Tope</t>
  </si>
  <si>
    <t xml:space="preserve">Tasla</t>
  </si>
  <si>
    <t xml:space="preserve">Tadka Pan</t>
  </si>
  <si>
    <t xml:space="preserve">Appam Patra/Pan</t>
  </si>
  <si>
    <t xml:space="preserve">Appachetty</t>
  </si>
  <si>
    <t xml:space="preserve">Sandwich Toaster/Griller</t>
  </si>
  <si>
    <t xml:space="preserve">Milton — Casseroles (separate collection)</t>
  </si>
  <si>
    <t xml:space="preserve">Insulated Casseroles</t>
  </si>
  <si>
    <t xml:space="preserve">n/d</t>
  </si>
  <si>
    <t xml:space="preserve">milton.in/collections/casseroles — separate top-level nav category, NOT part of the 89 above</t>
  </si>
  <si>
    <t xml:space="preserve">Insulated Steel Casseroles</t>
  </si>
  <si>
    <t xml:space="preserve">Microwavable Casseroles</t>
  </si>
  <si>
    <t xml:space="preserve">(25 total, sub-split not disclosed)</t>
  </si>
  <si>
    <t xml:space="preserve">Home Centre — Cooking (main)</t>
  </si>
  <si>
    <t xml:space="preserve">homecentre.in/in/en/c/kitchen-cooking — subcategory tabs shown, individual counts not exposed</t>
  </si>
  <si>
    <t xml:space="preserve">Induction Cookware</t>
  </si>
  <si>
    <t xml:space="preserve">Kadhai and Woks</t>
  </si>
  <si>
    <t xml:space="preserve">Tawas</t>
  </si>
  <si>
    <t xml:space="preserve">Pressure Cookers</t>
  </si>
  <si>
    <t xml:space="preserve">Cookware Sets</t>
  </si>
  <si>
    <t xml:space="preserve">Tools and Gadgets</t>
  </si>
  <si>
    <t xml:space="preserve">Grill Pan and Griddles</t>
  </si>
  <si>
    <t xml:space="preserve">(236 total, sub-counts not disclosed)</t>
  </si>
  <si>
    <t xml:space="preserve">Home Centre — Kitchenware (separate)</t>
  </si>
  <si>
    <t xml:space="preserve">homecentre.in/in/en/c/kitchen-kitchenware</t>
  </si>
  <si>
    <t xml:space="preserve">Knives and Scissors</t>
  </si>
  <si>
    <t xml:space="preserve">Oil and Vinegar Servers</t>
  </si>
  <si>
    <t xml:space="preserve">Chopping Boards</t>
  </si>
  <si>
    <t xml:space="preserve">Casseroles</t>
  </si>
  <si>
    <t xml:space="preserve">Kitchen Trolleys</t>
  </si>
  <si>
    <t xml:space="preserve">Fruit Baskets</t>
  </si>
  <si>
    <t xml:space="preserve">Strainers and Colanders</t>
  </si>
  <si>
    <t xml:space="preserve">Utensil Holders</t>
  </si>
  <si>
    <t xml:space="preserve">Dish Racks</t>
  </si>
  <si>
    <t xml:space="preserve">(261 total, sub-counts not disclosed)</t>
  </si>
  <si>
    <t xml:space="preserve">wonderchef.com/collections/cookware-collection — subcategory tabs, individual counts not exposed</t>
  </si>
  <si>
    <t xml:space="preserve">Kadhai &amp; Woks</t>
  </si>
  <si>
    <t xml:space="preserve">Frying Pan</t>
  </si>
  <si>
    <t xml:space="preserve">Appakara &amp; Appachetty</t>
  </si>
  <si>
    <t xml:space="preserve">Milk Boilers</t>
  </si>
  <si>
    <t xml:space="preserve">Sauce Pans</t>
  </si>
  <si>
    <t xml:space="preserve">Gas Oven Tandoor</t>
  </si>
  <si>
    <t xml:space="preserve">Paniyarakkal</t>
  </si>
  <si>
    <t xml:space="preserve">Cook n Serve</t>
  </si>
  <si>
    <t xml:space="preserve">Cookers</t>
  </si>
  <si>
    <t xml:space="preserve">(116 total, sub-counts not disclosed)</t>
  </si>
  <si>
    <t xml:space="preserve">myborosil.com/collections/cookware — paginated, exact total not disclosed</t>
  </si>
  <si>
    <t xml:space="preserve">Casserole &amp; Kadhai</t>
  </si>
  <si>
    <t xml:space="preserve">Tope &amp; Saucepan</t>
  </si>
  <si>
    <t xml:space="preserve">Chopping Board</t>
  </si>
  <si>
    <t xml:space="preserve">Spoons</t>
  </si>
  <si>
    <t xml:space="preserve">(~150-180 est., 6-page listing)</t>
  </si>
  <si>
    <t xml:space="preserve">Vaaree (marketplace)</t>
  </si>
  <si>
    <t xml:space="preserve">Healthy Cookware</t>
  </si>
  <si>
    <t xml:space="preserve">vaaree.com/collections/cookware — multi-brand aggregator (Bergner, Vinod, Cumin Co, Solara)</t>
  </si>
  <si>
    <t xml:space="preserve">Pots &amp; Cookers</t>
  </si>
  <si>
    <t xml:space="preserve">Kitchen Utilities</t>
  </si>
  <si>
    <t xml:space="preserve">Kadhai &amp; Wok</t>
  </si>
  <si>
    <t xml:space="preserve">Pans &amp; Grill Pans</t>
  </si>
  <si>
    <t xml:space="preserve">Triply Cookware</t>
  </si>
  <si>
    <t xml:space="preserve">Induction Safe Cookware</t>
  </si>
  <si>
    <t xml:space="preserve">Non-Stick Cookware</t>
  </si>
  <si>
    <t xml:space="preserve">Brass &amp; Copper Cookware</t>
  </si>
  <si>
    <t xml:space="preserve">(1,202 total, sub-counts not disclosed)</t>
  </si>
  <si>
    <t xml:space="preserve">Ellementry (Cookware)</t>
  </si>
  <si>
    <t xml:space="preserve">Mortar &amp; Pestle (marble)</t>
  </si>
  <si>
    <t xml:space="preserve">ellementry.com/collections/cookware — handcrafted marble/brass/terracotta/wood, NOT steel/tri-ply. Separate Bakeware, Organiser, Accessories, Utilities sub-navs exist but not counted here (would add chopping boards, measuring spoons, ladle sets, mixing bowls, ramekins if included).</t>
  </si>
  <si>
    <t xml:space="preserve">Chakla Belan (marble/wood)</t>
  </si>
  <si>
    <t xml:space="preserve">Curd Setter (terracotta)</t>
  </si>
  <si>
    <t xml:space="preserve">Sprouter (terracotta)</t>
  </si>
  <si>
    <t xml:space="preserve">Frying Pan (brass)</t>
  </si>
  <si>
    <t xml:space="preserve">Tea Pan (brass)</t>
  </si>
  <si>
    <t xml:space="preserve">Roti Tong (brass)</t>
  </si>
  <si>
    <t xml:space="preserve">Tadka Pan (brass)</t>
  </si>
  <si>
    <t xml:space="preserve">(24 total, sub-counts not disclosed)</t>
  </si>
  <si>
    <t xml:space="preserve">Stahl Kitchens (All Products)</t>
  </si>
  <si>
    <t xml:space="preserve">Kadhai (Triply Artisan/Hybrid, Cast Iron Blacksmith)</t>
  </si>
  <si>
    <t xml:space="preserve">stahlkitchens.com/collections/all-products — 'D2C triply pioneer', direct fetch. Core cookware vessels (excl. spares/knives) estimated ~30-35.</t>
  </si>
  <si>
    <t xml:space="preserve">Frypan (Triply, Cast Iron)</t>
  </si>
  <si>
    <t xml:space="preserve">Tawa (Dosa/Roti, Triply Hybrid)</t>
  </si>
  <si>
    <t xml:space="preserve">Saucepan/Saucepot/Casserole</t>
  </si>
  <si>
    <t xml:space="preserve">Pressure Cooker (Xpress, Cooker Duo)</t>
  </si>
  <si>
    <t xml:space="preserve">Tasla Kadhai</t>
  </si>
  <si>
    <t xml:space="preserve">Knives</t>
  </si>
  <si>
    <t xml:space="preserve">Spares/Accessories (gaskets, valves, handles)</t>
  </si>
  <si>
    <t xml:space="preserve">(42 total incl. spares/knives, sub-counts not disclosed)</t>
  </si>
  <si>
    <t xml:space="preserve">▶ SOURCE: Direct Competitors</t>
  </si>
  <si>
    <t xml:space="preserve">Direct Competitors — Aesthetic/Lifestyle Cookware &amp; Kitchenware</t>
  </si>
  <si>
    <t xml:space="preserve">Brands competing for the same purchase decision as Nestasia: design-led, gifting-oriented home &amp; kitchen</t>
  </si>
  <si>
    <t xml:space="preserve">Cookware?</t>
  </si>
  <si>
    <t xml:space="preserve">SKU Scale vs Nestasia</t>
  </si>
  <si>
    <t xml:space="preserve">Positioning Overlap / Difference</t>
  </si>
  <si>
    <t xml:space="preserve">Channel</t>
  </si>
  <si>
    <t xml:space="preserve">Yes — 236 SKUs</t>
  </si>
  <si>
    <t xml:space="preserve">3.3x combined (497 vs 150)</t>
  </si>
  <si>
    <t xml:space="preserve">Same aesthetic-led play at lower price + 90+ physical stores vs Nestasia's ~7. Sharpest single competitor.</t>
  </si>
  <si>
    <t xml:space="preserve">Online + 90+ stores (Landmark Group)</t>
  </si>
  <si>
    <t xml:space="preserve">Yes — 24 SKUs (handcrafted, non-steel)</t>
  </si>
  <si>
    <t xml:space="preserve">Smaller (24 vs ~90), but different material axis entirely</t>
  </si>
  <si>
    <t xml:space="preserve">Founded 2018 by Ayush Baid — sustainable, handcrafted luxury (terra-sigillata, marble, brass, wood). Repeatedly co-cited with Nestasia in 'best ceramic tableware'/'brands like Nicobar' roundups. Closest true positioning peer, but cookware is brass/marble (mortar-pestle, chakla belan, tadka pan) not steel/tri-ply — different material story, same gifting/aesthetic-first proposition.</t>
  </si>
  <si>
    <t xml:space="preserve">Online + 5 city retail stores</t>
  </si>
  <si>
    <t xml:space="preserve">Yes — 1,202 SKUs (marketplace)</t>
  </si>
  <si>
    <t xml:space="preserve">Not comparable (aggregator, not single-brand)</t>
  </si>
  <si>
    <t xml:space="preserve">Digital-first, design-led like Nestasia but structurally a multi-brand marketplace (Bergner, Vinod, Cumin Co, Solara).</t>
  </si>
  <si>
    <t xml:space="preserve">Online D2C marketplace</t>
  </si>
  <si>
    <t xml:space="preserve">Trampoline / The Purple Turtles</t>
  </si>
  <si>
    <t xml:space="preserve">Not verified</t>
  </si>
  <si>
    <t xml:space="preserve">Named directly in Nestasia's own funding-round press coverage as home-decor segment competitors.</t>
  </si>
  <si>
    <t xml:space="preserve">Online D2C</t>
  </si>
  <si>
    <t xml:space="preserve">Fabindia (Home)</t>
  </si>
  <si>
    <t xml:space="preserve">Not verified — likely limited</t>
  </si>
  <si>
    <t xml:space="preserve">Heritage/ethical-sourcing story vs. Nestasia's contemporary/SE-Asia-inspired design story.</t>
  </si>
  <si>
    <t xml:space="preserve">Online + large retail footprint</t>
  </si>
  <si>
    <t xml:space="preserve">Pepperfry</t>
  </si>
  <si>
    <t xml:space="preserve">Marketplace — multi-brand</t>
  </si>
  <si>
    <t xml:space="preserve">Not comparable (marketplace)</t>
  </si>
  <si>
    <t xml:space="preserve">Also a Nestasia sales CHANNEL — coopetition, not pure rivalry.</t>
  </si>
  <si>
    <t xml:space="preserve">Online marketplace + 200+ studios</t>
  </si>
  <si>
    <t xml:space="preserve">Home Centre Deep-Dive (Sharpest Direct Threat)</t>
  </si>
  <si>
    <t xml:space="preserve">Founded</t>
  </si>
  <si>
    <t xml:space="preserve">1995, part of Landmark Group (Middle East/North Africa/Indian subcontinent's largest home-furnishings omnichannel retailer)</t>
  </si>
  <si>
    <t xml:space="preserve">Physical footprint</t>
  </si>
  <si>
    <t xml:space="preserve">90+ stores in India vs Nestasia's ~7 stores (targeting ~25 by FY27)</t>
  </si>
  <si>
    <t xml:space="preserve">Price floor</t>
  </si>
  <si>
    <t xml:space="preserve">Cookware sets from ₹1,499; individual pots/pans from ₹199 — vs Nestasia's cookware floor of ~₹910</t>
  </si>
  <si>
    <t xml:space="preserve">Category breadth</t>
  </si>
  <si>
    <t xml:space="preserve">Near-identical to Nestasia's kitchen vertical: induction cookware, pots &amp; pans, kadhai &amp; woks, tools &amp; gadgets, pressure cookers, tawas, casseroles, chopping boards, bakeware</t>
  </si>
  <si>
    <t xml:space="preserve">Positioning gap</t>
  </si>
  <si>
    <t xml:space="preserve">Home Centre = 'affordable style for the mass-premium home'; Nestasia = 'curated/artisanal, higher price, gift-first'. Home Centre wins on trust + touch-and-feel + price; Nestasia wins on design distinctiveness + brand narrative.</t>
  </si>
  <si>
    <t xml:space="preserve">▶ SOURCE: Indirect Competitors</t>
  </si>
  <si>
    <t xml:space="preserve">Indirect Competitors &amp; Substitutes</t>
  </si>
  <si>
    <t xml:space="preserve">Brands/categories solving the same underlying NEED through a different value axis or product form</t>
  </si>
  <si>
    <t xml:space="preserve">Functional Cookware Giants</t>
  </si>
  <si>
    <t xml:space="preserve">Value Axis</t>
  </si>
  <si>
    <t xml:space="preserve">Why It's Indirect (Not Head-to-Head)</t>
  </si>
  <si>
    <t xml:space="preserve">SKU Scale</t>
  </si>
  <si>
    <t xml:space="preserve">Durability / trust / price</t>
  </si>
  <si>
    <t xml:space="preserve">Household name, reliable/affordable — buyers choosing Prestige aren't rejecting Nestasia's design, they're optimizing for a different axis entirely</t>
  </si>
  <si>
    <t xml:space="preserve">237</t>
  </si>
  <si>
    <t xml:space="preserve">Practicality / value</t>
  </si>
  <si>
    <t xml:space="preserve">Core strength is bottles/tiffins/storage, not cookware design — cookware is a secondary line</t>
  </si>
  <si>
    <t xml:space="preserve">89 (+25 Casseroles)</t>
  </si>
  <si>
    <t xml:space="preserve">Celebrity-chef / modern function</t>
  </si>
  <si>
    <t xml:space="preserve">Sanjeev Kapoor association; style + function but priced/marketed on performance claims, not aesthetic curation</t>
  </si>
  <si>
    <t xml:space="preserve">116</t>
  </si>
  <si>
    <t xml:space="preserve">Borosil</t>
  </si>
  <si>
    <t xml:space="preserve">Heritage / glass safety</t>
  </si>
  <si>
    <t xml:space="preserve">Glass/steel trust story; functional problem-solution copy, not lifestyle merchandising</t>
  </si>
  <si>
    <t xml:space="preserve">~150-180</t>
  </si>
  <si>
    <t xml:space="preserve">Premium triply performance (D2C)</t>
  </si>
  <si>
    <t xml:space="preserve">India's self-declared triply pioneer (10+ years) — D2C-only, no legacy retail history. Competes on engineering claims (three bonded metal layers, German-tech coatings) not aesthetics. Fills the 'D2C functional-premium' gap between Nestasia's design-first play and legacy giants' scale.</t>
  </si>
  <si>
    <t xml:space="preserve">42 (incl. spares/knives; core cookware ~30-35)</t>
  </si>
  <si>
    <t xml:space="preserve">Hawkins, Pigeon, Butterfly, Vinod, Bergner, Cello, Meyer</t>
  </si>
  <si>
    <t xml:space="preserve">Price / durability / regional trust</t>
  </si>
  <si>
    <t xml:space="preserve">Named among 1,000+ brands in a fragmented market — set the price/durability anchor Nestasia is implicitly compared against</t>
  </si>
  <si>
    <t xml:space="preserve">Not individually verified</t>
  </si>
  <si>
    <t xml:space="preserve">Substitutes / Need-Value Framework</t>
  </si>
  <si>
    <t xml:space="preserve">Underlying Need</t>
  </si>
  <si>
    <t xml:space="preserve">What Nestasia Provides</t>
  </si>
  <si>
    <t xml:space="preserve">Substitute That Satisfies Same Need</t>
  </si>
  <si>
    <t xml:space="preserve">Functional: cook food</t>
  </si>
  <si>
    <t xml:space="preserve">A pot/pan that heats and holds food</t>
  </si>
  <si>
    <t xml:space="preserve">Any cookware brand — Prestige, Milton, local steel shop — functionally interchangeable, often cheaper</t>
  </si>
  <si>
    <t xml:space="preserve">Aesthetic: kitchen should look good</t>
  </si>
  <si>
    <t xml:space="preserve">Design, colour, pattern, texture as core SKU attributes</t>
  </si>
  <si>
    <t xml:space="preserve">Any home decor category — a vase or cushion can satisfy the same aesthetic-spend need outside the kitchen</t>
  </si>
  <si>
    <t xml:space="preserve">Gifting: meaningful housewarming/wedding gift</t>
  </si>
  <si>
    <t xml:space="preserve">Occasion-tagged, giftable packaging, personalization option</t>
  </si>
  <si>
    <t xml:space="preserve">Jewellery, candles, hampers, experiential gifts — cookware is only one vehicle for the gifting need</t>
  </si>
  <si>
    <t xml:space="preserve">Identity/status: signal taste</t>
  </si>
  <si>
    <t xml:space="preserve">Curated, artisanal narrative, premium price as signal</t>
  </si>
  <si>
    <t xml:space="preserve">Fashion, home textiles, art, travel — compete for the same discretionary identity-signaling spend</t>
  </si>
  <si>
    <t xml:space="preserve">Trust/durability: it should last</t>
  </si>
  <si>
    <t xml:space="preserve">Tri-ply/honeycomb technical claims (secondary to design)</t>
  </si>
  <si>
    <t xml:space="preserve">Category leaders (Prestige, Milton) win decisively here — Nestasia's weakest value axis, confirmed by pain-point research</t>
  </si>
  <si>
    <t xml:space="preserve">Other Indirect Categories</t>
  </si>
  <si>
    <t xml:space="preserve">Unorganized/local steel-shop cookware</t>
  </si>
  <si>
    <t xml:space="preserve">Largest indirect threat by volume — most Indian households still buy basic cookware locally, bypassing brand entirely</t>
  </si>
  <si>
    <t xml:space="preserve">Marketplace private labels (Amazon Solimo, Flipkart SmartBuy)</t>
  </si>
  <si>
    <t xml:space="preserve">Satisfies the base functional need at lowest possible price, zero brand/aesthetic premium</t>
  </si>
  <si>
    <t xml:space="preserve">DIY/Pinterest-driven home styling</t>
  </si>
  <si>
    <t xml:space="preserve">Satisfies the aesthetic-upgrade need without any kitchenware transaction — repainting, rearranging, thrifting</t>
  </si>
  <si>
    <t xml:space="preserve">Quick-commerce/impulse decor micro-brands</t>
  </si>
  <si>
    <t xml:space="preserve">Fragments demand for smaller, cheaper aesthetic-kitchen-object purchases via Instagram ads, outside Nestasia's price band</t>
  </si>
  <si>
    <t xml:space="preserve">Strategic read: Nestasia's true competitive vulnerability isn't functional-cookware brands stealing customers on durability grounds — they occupy an almost orthogonal value axis. The real risk is (1) substitution of the underlying need to a different category (gifting met elsewhere, aesthetic met via non-kitchen decor) and (2) Home Centre capturing the same aesthetic-cookware need at lower price with far greater physical reach. Functional giants set a price/durability anchor that makes Nestasia's occasional quality complaints disproportionately costly, since buyers implicitly compare against that anchor even when choosing Nestasia for its design.</t>
  </si>
  <si>
    <t xml:space="preserve">Cookware &amp; Utensils — Channels</t>
  </si>
  <si>
    <t xml:space="preserve">qCommerce, marketplace, and cross-platform distribution data</t>
  </si>
  <si>
    <t xml:space="preserve">▶ SOURCE: qCommerce &amp; Channels</t>
  </si>
  <si>
    <t xml:space="preserve">qCommerce &amp; Additional Channel Presence</t>
  </si>
  <si>
    <t xml:space="preserve">All platforms verified — Blinkit, Zepto, Instamart, Myntra, Nykaa Fashion confirmed | Aug 2026</t>
  </si>
  <si>
    <t xml:space="preserve">Presence Confirmed?</t>
  </si>
  <si>
    <t xml:space="preserve">Evidence</t>
  </si>
  <si>
    <t xml:space="preserve">Sample Price</t>
  </si>
  <si>
    <t xml:space="preserve">Blinkit</t>
  </si>
  <si>
    <t xml:space="preserve">YES — dedicated brand page</t>
  </si>
  <si>
    <t xml:space="preserve">blinkit.com/brand/nestasia — live listings incl. Ceramic Serving Pot, Nitori Bowl Set, SS Gourmet Cheese Knives Cutlery Set, Mandala Ceramic Serving Platter</t>
  </si>
  <si>
    <t xml:space="preserve">₹750 – ₹1,089</t>
  </si>
  <si>
    <t xml:space="preserve">Skews toward dinnerware/serveware, not core cookware (kadhai/tawa) — likely a deliberate curated micro-assortment for 10-min basket size</t>
  </si>
  <si>
    <t xml:space="preserve">Zepto</t>
  </si>
  <si>
    <t xml:space="preserve">zepto.com/brand/Nestasia — Zepto's own brand page explicitly lists 'kitchen &amp; dining' as a Nestasia category, ~10-min delivery promise</t>
  </si>
  <si>
    <t xml:space="preserve">Zepto markets Nestasia as an established, frequently-reordered brand on-platform ('customers love Nestasia products for their quality and variety')</t>
  </si>
  <si>
    <t xml:space="preserve">Swiggy Instamart</t>
  </si>
  <si>
    <t xml:space="preserve">YES — dedicated brand storefront + festive sale partner</t>
  </si>
  <si>
    <t xml:space="preserve">swiggy.com/instamart/city/[city]/cb/nestasia/[category] — separate storefronts per city for 'Crockery and Serveware', 'Home Decor', 'Kitchen and Dining'. CONFIRMED as a named launch partner (alongside boAt, Philips, Bergner, Pampers) in Instamart's own 'Quick India Movement' annual mega-sale event</t>
  </si>
  <si>
    <t xml:space="preserve">₹312 – ₹933 (sampled)</t>
  </si>
  <si>
    <t xml:space="preserve">Being named as a curated partner brand for Instamart's flagship annual sale (alongside boAt/Philips-tier brands) is a strong signal — Nestasia is treated as a notable qCommerce partner, not an incidental long-tail listing</t>
  </si>
  <si>
    <t xml:space="preserve">Myntra</t>
  </si>
  <si>
    <t xml:space="preserve">YES — dedicated cookware + brand pages</t>
  </si>
  <si>
    <t xml:space="preserve">myntra.com/nestasia-cookware AND myntra.com/nestasia (general) — individual SKUs incl. Cookware Set of multiple pieces, Cast Iron Cookware</t>
  </si>
  <si>
    <t xml:space="preserve">₹3,940 (SS Cookware Set)</t>
  </si>
  <si>
    <t xml:space="preserve">Myntra listing includes actual functional cookware (cast iron kadhai/wok), not just decor — genuine cookware-category presence</t>
  </si>
  <si>
    <t xml:space="preserve">Nykaa Fashion (Home)</t>
  </si>
  <si>
    <t xml:space="preserve">YES — dedicated designer/brand page</t>
  </si>
  <si>
    <t xml:space="preserve">nykaafashion.com/designers/nestasia — described on-platform as 'known for uniquely designed collection... wide range of decor and kitchenware'</t>
  </si>
  <si>
    <t xml:space="preserve">₹720 – ₹2,150 (sampled decor items)</t>
  </si>
  <si>
    <t xml:space="preserve">IMPORTANT: LBB editorial coverage confirms Nykaa Fashion Home lists Nestasia's kitchen category ALONGSIDE Wonderchef, Ellementry, and Chumbak — direct competitive co-placement evidence within a live marketplace, not just an inferred comparison</t>
  </si>
  <si>
    <t xml:space="preserve">Confirmed elsewhere in project</t>
  </si>
  <si>
    <t xml:space="preserve">Also a Nestasia sales partner per earlier research</t>
  </si>
  <si>
    <t xml:space="preserve">Dual role: distribution channel AND competitor marketplace (coopetition)</t>
  </si>
  <si>
    <t xml:space="preserve">Cross-Channel Pattern Observed</t>
  </si>
  <si>
    <t xml:space="preserve">Assortment skews decor/serveware on qCommerce</t>
  </si>
  <si>
    <t xml:space="preserve">Across Blinkit, Zepto, and Instamart, the sampled SKU mix leans toward ceramic bowls, serving platters, and drinkware rather than core functional cookware (kadhai/tawa/saucepan) — suggesting qCommerce is curated for smaller-basket, gift-adjacent, impulse-friendly items rather than a full cookware catalogue sync.</t>
  </si>
  <si>
    <t xml:space="preserve">Myntra and Nykaa carry more functional range</t>
  </si>
  <si>
    <t xml:space="preserve">Both show actual cookware sets and cast-iron kadhai listings, not just decor — closer to a full-catalogue presence than the qCommerce platforms.</t>
  </si>
  <si>
    <t xml:space="preserve">Instamart's festive-sale partnership is the strongest signal</t>
  </si>
  <si>
    <t xml:space="preserve">Being named a launch partner brand (alongside boAt, Philips, Bergner) for Instamart's own annual mega-sale event indicates a real commercial relationship, not passive/opportunistic listing — worth asking the founder whether this was a paid placement, a negotiated partnership, or purely inbound demand from the platform.</t>
  </si>
  <si>
    <t xml:space="preserve">Strategic Read</t>
  </si>
  <si>
    <t xml:space="preserve">qCommerce presence for a design-led, considered-purchase category like cookware is structurally unusual — Blinkit/Zepto/Instamart are built for impulse and urgent restocking, not aesthetic browsing. The observed pattern — Nestasia's qCommerce assortment skewing toward smaller, cheaper, gift-adjacent items rather than core kadhai/tawa cookware — is consistent with either (a) a deliberate curated micro-assortment for the channel, or (b) simply whichever SKUs happened to sync first, or vendor-side listing limitations. We have NOT confirmed which. Similarly, the confirmed Instamart festive-sale partnership (named alongside boAt, Philips, Bergner) is a real, verifiable fact — but whether it reflects an intentional, resourced omnichannel strategy versus a one-off opportunistic placement is UNCONFIRMED and should not be asserted either way without asking the founder directly: is qCommerce viewed as a strategic testing ground for new-customer acquisition, a gifting/impulse revenue channel, or was the Instamart partnership a one-off?</t>
  </si>
  <si>
    <t xml:space="preserve">▶ SOURCE: Pricing &amp; Discounts</t>
  </si>
  <si>
    <t xml:space="preserve">Pricing &amp; Discount Comparison</t>
  </si>
  <si>
    <t xml:space="preserve">Cookware category price ranges and promotional mechanics by brand</t>
  </si>
  <si>
    <t xml:space="preserve">Price Range (₹)</t>
  </si>
  <si>
    <t xml:space="preserve">Typical Discount</t>
  </si>
  <si>
    <t xml:space="preserve">Discount Depth Band</t>
  </si>
  <si>
    <t xml:space="preserve">Promo Mechanics</t>
  </si>
  <si>
    <t xml:space="preserve">Positioning Signal</t>
  </si>
  <si>
    <t xml:space="preserve">910 – 5,095</t>
  </si>
  <si>
    <t xml:space="preserve">13% – 64% off</t>
  </si>
  <si>
    <t xml:space="preserve">30-45% concentration</t>
  </si>
  <si>
    <t xml:space="preserve">Site-wide FREEDOM10 coupon stacks on top of pre-discounted MRP; permanent BOGO &amp; Sale collections</t>
  </si>
  <si>
    <t xml:space="preserve">Inflated-MRP-then-discount architecture; near-zero SKUs at pure MRP</t>
  </si>
  <si>
    <t xml:space="preserve">199 – 5,599</t>
  </si>
  <si>
    <t xml:space="preserve">5% – 65% off</t>
  </si>
  <si>
    <t xml:space="preserve">20-30% concentration</t>
  </si>
  <si>
    <t xml:space="preserve">Marketplace-style sub-brands (OMEGA, VINOD, Gravis, Rivago) each with own discount</t>
  </si>
  <si>
    <t xml:space="preserve">Mass-premium value positioning; lower absolute floor than Nestasia</t>
  </si>
  <si>
    <t xml:space="preserve">320 – 5,002 (Moglix listing)</t>
  </si>
  <si>
    <t xml:space="preserve">Up to 84% off (aggregator), 20-50% direct</t>
  </si>
  <si>
    <t xml:space="preserve">20% baseline on most SKUs</t>
  </si>
  <si>
    <t xml:space="preserve">15-Year warranty badge as trust anchor alongside discount</t>
  </si>
  <si>
    <t xml:space="preserve">Functional trust + price, minimal aesthetic merchandising</t>
  </si>
  <si>
    <t xml:space="preserve">305 – 5,999</t>
  </si>
  <si>
    <t xml:space="preserve">3% – 61% off</t>
  </si>
  <si>
    <t xml:space="preserve">10-20% typical, up to 60% on sets</t>
  </si>
  <si>
    <t xml:space="preserve">App-exclusive 12% off, UPI 3% off, PRIME12 code stacking</t>
  </si>
  <si>
    <t xml:space="preserve">Broad range from entry aluminium to premium tri-ply sets</t>
  </si>
  <si>
    <t xml:space="preserve">599 – 2,499 (sample SKUs)</t>
  </si>
  <si>
    <t xml:space="preserve">42% – 57% off</t>
  </si>
  <si>
    <t xml:space="preserve">46% is the dominant, near-uniform discount</t>
  </si>
  <si>
    <t xml:space="preserve">'Freedom Sale' + prepaid ₹50 extra off + No-cost EMI from ₹2,999</t>
  </si>
  <si>
    <t xml:space="preserve">Warranty tiers (2/10/Lifetime yr) tied to material tier as trust signal</t>
  </si>
  <si>
    <t xml:space="preserve">Not fully captured — sample SKUs ₹305-3,899</t>
  </si>
  <si>
    <t xml:space="preserve">17% – 30% off</t>
  </si>
  <si>
    <t xml:space="preserve">Cookfresh/Granito/Vajra sub-brand naming as quality tiers</t>
  </si>
  <si>
    <t xml:space="preserve">Heritage glass/steel trust; functional problem-solution copy ('rotis going soggy')</t>
  </si>
  <si>
    <t xml:space="preserve">699 – 4,699 (sample SKUs)</t>
  </si>
  <si>
    <t xml:space="preserve">14% – 72% off</t>
  </si>
  <si>
    <t xml:space="preserve">20-30% concentration, some 60%+ outliers</t>
  </si>
  <si>
    <t xml:space="preserve">Multi-brand marketplace — each vendor (Bergner, Vinod, Solara) sets own discount</t>
  </si>
  <si>
    <t xml:space="preserve">Marketplace price competition; wide variance by vendor</t>
  </si>
  <si>
    <t xml:space="preserve">490 – 5,190</t>
  </si>
  <si>
    <t xml:space="preserve">10% – 40% off</t>
  </si>
  <si>
    <t xml:space="preserve">10-20% concentration (shallower than Nestasia)</t>
  </si>
  <si>
    <t xml:space="preserve">'End of Season Sale up to 40% off', free delivery above ₹1,000</t>
  </si>
  <si>
    <t xml:space="preserve">Handcrafted-premium positioning; shallower average discount than Nestasia, consistent with artisanal/no-mass-production framing</t>
  </si>
  <si>
    <t xml:space="preserve">50 – 8,299 (spares to combo packs)</t>
  </si>
  <si>
    <t xml:space="preserve">14% – 25% off</t>
  </si>
  <si>
    <t xml:space="preserve">19-20% concentration (tightest band of any brand surveyed)</t>
  </si>
  <si>
    <t xml:space="preserve">'Register for Warranty' program, cookware sizing guide as trust content</t>
  </si>
  <si>
    <t xml:space="preserve">Engineering-led positioning; narrow, consistent discount band signals price discipline vs. Nestasia's 30-45% concentration</t>
  </si>
  <si>
    <t xml:space="preserve">Cross-brand pattern: nearly every brand in this category — Nestasia included — uses an inflated-MRP-then-discount structure rather than stable pricing at MRP. This is a category norm in Indian D2C home/kitchen retail, not a Nestasia-specific practice, though Nestasia's discount concentration (30-45%) sits toward the deeper end versus functional players like Prestige (20% baseline).</t>
  </si>
  <si>
    <t xml:space="preserve">Cookware &amp; Utensils — Insights</t>
  </si>
  <si>
    <t xml:space="preserve">Deep-dive hypotheses, founder questions, market sizing, and data limitations</t>
  </si>
  <si>
    <t xml:space="preserve">▶ SOURCE: Reviews &amp; Sentiment</t>
  </si>
  <si>
    <t xml:space="preserve">Reviews &amp; Sentiment Analysis</t>
  </si>
  <si>
    <t xml:space="preserve">Pulled from Amazon, Flipkart, Trustpilot, Judge.me, YouTube/blog hauls — Aug 2026</t>
  </si>
  <si>
    <t xml:space="preserve">Ratings by Platform</t>
  </si>
  <si>
    <t xml:space="preserve">Platform</t>
  </si>
  <si>
    <t xml:space="preserve">Rating</t>
  </si>
  <si>
    <t xml:space="preserve">Review Volume</t>
  </si>
  <si>
    <t xml:space="preserve">Judge.me (site-wide)</t>
  </si>
  <si>
    <t xml:space="preserve">4.9 / 5</t>
  </si>
  <si>
    <t xml:space="preserve">~28,926 reviews</t>
  </si>
  <si>
    <t xml:space="preserve">Store-wide across 14,560 products — not cookware-specific, indicates strong overall satisfaction</t>
  </si>
  <si>
    <t xml:space="preserve">Flipkart — individual SKUs</t>
  </si>
  <si>
    <t xml:space="preserve">4.5 – 4.9 / 5</t>
  </si>
  <si>
    <t xml:space="preserve">Sample: 13-42 per SKU</t>
  </si>
  <si>
    <t xml:space="preserve">Ceramic bowl set (56% off) at 4.5/5, 13 reviews; scattered individual product ratings</t>
  </si>
  <si>
    <t xml:space="preserve">Amazon.in</t>
  </si>
  <si>
    <t xml:space="preserve">Not consolidated</t>
  </si>
  <si>
    <t xml:space="preserve">Mostly &lt;50 per cookware SKU</t>
  </si>
  <si>
    <t xml:space="preserve">Lower review depth per SKU vs. category leaders (Prestige, Milton) — trust/social-proof gap on marketplace</t>
  </si>
  <si>
    <t xml:space="preserve">Trustpilot</t>
  </si>
  <si>
    <t xml:space="preserve">Mixed / polarized</t>
  </si>
  <si>
    <t xml:space="preserve">~180-190 reviews across pages</t>
  </si>
  <si>
    <t xml:space="preserve">Best proxy for unfiltered sentiment — clear bimodal pattern, see pain points below</t>
  </si>
  <si>
    <t xml:space="preserve">MouthShut</t>
  </si>
  <si>
    <t xml:space="preserve">1 / 5</t>
  </si>
  <si>
    <t xml:space="preserve">4 votes</t>
  </si>
  <si>
    <t xml:space="preserve">Very low sample size — not statistically reliable, likely skewed by service complainants</t>
  </si>
  <si>
    <t xml:space="preserve">Consolidated Pain-Point Themes (Trustpilot / Flipkart)</t>
  </si>
  <si>
    <t xml:space="preserve">Pain Point</t>
  </si>
  <si>
    <t xml:space="preserve">Frequency</t>
  </si>
  <si>
    <t xml:space="preserve">Root Cause Hypothesis</t>
  </si>
  <si>
    <t xml:space="preserve">Representative Evidence</t>
  </si>
  <si>
    <t xml:space="preserve">Breakage in transit (glass/ceramic)</t>
  </si>
  <si>
    <t xml:space="preserve">High — most cited complaint</t>
  </si>
  <si>
    <t xml:space="preserve">Packaging inconsistency; category inherent fragile-shipping risk</t>
  </si>
  <si>
    <t xml:space="preserve">"Out of 6 [glasses], 2 were broken to bits... they try to sell products creating more margins by inferior packing."</t>
  </si>
  <si>
    <t xml:space="preserve">Post-purchase service friction</t>
  </si>
  <si>
    <t xml:space="preserve">High</t>
  </si>
  <si>
    <t xml:space="preserve">Rigid replacement/refund policy inconsistent with premium positioning</t>
  </si>
  <si>
    <t xml:space="preserve">"We bought a dinnerware set... full of scratches but they refuse to even replace... even after accepting their fault." One customer escalated to National Consumer Helpline.</t>
  </si>
  <si>
    <t xml:space="preserve">Price-quality expectation gap</t>
  </si>
  <si>
    <t xml:space="preserve">Medium-high</t>
  </si>
  <si>
    <t xml:space="preserve">Premium pricing anchors high expectations that occasional quality misses violate</t>
  </si>
  <si>
    <t xml:space="preserve">"Being so expensive we expect good quality products." — repeated phrase pattern across independent reviewers</t>
  </si>
  <si>
    <t xml:space="preserve">Functional durability doubts (cast iron/non-stick)</t>
  </si>
  <si>
    <t xml:space="preserve">Medium (Flipkart-specific)</t>
  </si>
  <si>
    <t xml:space="preserve">Coating fade/discolouration reports — genuine product-quality signal</t>
  </si>
  <si>
    <t xml:space="preserve">Cast-iron dosa tawa: "bottom side normal wash colour fade, after a month top side also colour change... don't buy this."</t>
  </si>
  <si>
    <t xml:space="preserve">Delivery/logistics complaints</t>
  </si>
  <si>
    <t xml:space="preserve">Medium</t>
  </si>
  <si>
    <t xml:space="preserve">Third-party courier partner (Shadowfax named) issue bleeding into brand sentiment</t>
  </si>
  <si>
    <t xml:space="preserve">"Their delivery partner Shadowfax is garbage service pathetic helpline."</t>
  </si>
  <si>
    <t xml:space="preserve">Low review depth per marketplace SKU</t>
  </si>
  <si>
    <t xml:space="preserve">Structural</t>
  </si>
  <si>
    <t xml:space="preserve">Undermines trust-building at the exact comparison moment on Amazon/Flipkart</t>
  </si>
  <si>
    <t xml:space="preserve">Most cookware SKUs show &lt;50 reviews vs. Prestige/Milton's higher per-SKU review counts</t>
  </si>
  <si>
    <t xml:space="preserve">Sentiment Synthesis</t>
  </si>
  <si>
    <t xml:space="preserve">Sentiment is polarized BY TOUCHPOINT, not uniformly positive or negative: (1) Product-in-hand experience — strongly positive, aesthetics consistently praised in unboxing/haul content. (2) Logistics/fulfillment — the weak link, breakage complaints concentrated here. (3) Post-purchase service recovery — sharpest negative driver; customers who might forgive damage become vocal detractors specifically because of a rigid, evidence-demanding replacement policy that contradicts the emotional premise of a premium/gift purchase.</t>
  </si>
  <si>
    <t xml:space="preserve">▶ SOURCE: Cookware — Founder Questions</t>
  </si>
  <si>
    <t xml:space="preserve">Cookware &amp; Utensils — Founder Questions</t>
  </si>
  <si>
    <t xml:space="preserve">Mirrors the Bakeware team's methodology — added after reviewing their approach</t>
  </si>
  <si>
    <t xml:space="preserve">9 Questions, in Priority Order</t>
  </si>
  <si>
    <t xml:space="preserve">#</t>
  </si>
  <si>
    <t xml:space="preserve">Question</t>
  </si>
  <si>
    <t xml:space="preserve">What the Answer Unlocks</t>
  </si>
  <si>
    <t xml:space="preserve">1</t>
  </si>
  <si>
    <t xml:space="preserve">The Cookware page's 'in stock' count moved from 81 to 84 between our two pulls. What's actually driving SKU-count changes here — new launches, restocks, or catalog corrections?</t>
  </si>
  <si>
    <t xml:space="preserve">Establishes whether Cookware's catalogue is genuinely growing or just fluctuating around a stable base — directly affects how 'the 9x growth in 2 years' claim should be interpreted</t>
  </si>
  <si>
    <t xml:space="preserve">Saucepans (8) and Casseroles (12) sit outside the main Cookware page filter, the same structural pattern found in Milton's site. Was this a deliberate information-architecture choice, or a byproduct of how the catalogue evolved?</t>
  </si>
  <si>
    <t xml:space="preserve">If deliberate, there may be a reason (e.g., merchandising Casseroles as a serving-first product); if not, it's a fixable customer-discovery gap</t>
  </si>
  <si>
    <t xml:space="preserve">Your marketing copy pushes 'non-toxic/chemical-free' hardest for Cast Iron, Ceramic and Stainless Steel — but Glass cookware's copy leans on transparency/convenience instead. Is this an intentional material-positioning split, or did it just evolve that way?</t>
  </si>
  <si>
    <t xml:space="preserve">Mirrors the Bakeware ceramic-vs-glass question — tests whether Nestasia has a deliberate 'health-positioned vs. convenience-positioned' material strategy across the whole Kitchen vertical, not just one category</t>
  </si>
  <si>
    <t xml:space="preserve">4</t>
  </si>
  <si>
    <t xml:space="preserve">What do the internal badge tags on select product cards (e.g. the Stainless Steel Curd Strainer) actually mean? Bestseller? New arrival? Editorial pick?</t>
  </si>
  <si>
    <t xml:space="preserve">We inferred 'bestseller' with zero confirmation — this needs a direct answer before any hero-SKU claim is trusted</t>
  </si>
  <si>
    <t xml:space="preserve">5</t>
  </si>
  <si>
    <t xml:space="preserve">Can we get 12-18 months of SKU-level sales, margin, and traffic data for Cookware &amp; Utensils, the same way we're requesting it for Bakeware?</t>
  </si>
  <si>
    <t xml:space="preserve">The only way to identify genuine hero SKUs and validate (or disprove) the badge-tag hypothesis above</t>
  </si>
  <si>
    <t xml:space="preserve">6</t>
  </si>
  <si>
    <t xml:space="preserve">Cookware cross-sells casseroles/jars/hampers rather than bundling within cookware itself (no 'kadhai + tawa + saucepan set' bundles). Is that an intentional AOV strategy, or just generic 'People also saw' logic applied uniformly site-wide?</t>
  </si>
  <si>
    <t xml:space="preserve">Determines whether there's a real merchandising strategy behind cross-category cross-sell, or whether it's simply how the site's recommendation engine works by default</t>
  </si>
  <si>
    <t xml:space="preserve">7</t>
  </si>
  <si>
    <t xml:space="preserve">Is the qCommerce assortment (skewing toward small decor/serveware on Blinkit/Zepto/Instamart) a deliberate curation for basket-size/impulse fit, or just whichever SKUs happened to sync first?</t>
  </si>
  <si>
    <t xml:space="preserve">Same discipline the Bakeware team applied — don't assume intent behind an observed pattern without confirming it</t>
  </si>
  <si>
    <t xml:space="preserve">Was the Instamart 'Quick India Movement' partnership (alongside boAt, Philips, Bergner) a negotiated brand partnership, a paid placement, or inbound platform demand?</t>
  </si>
  <si>
    <t xml:space="preserve">Materially changes how much strategic weight this finding deserves in a founder narrative</t>
  </si>
  <si>
    <t xml:space="preserve">9</t>
  </si>
  <si>
    <t xml:space="preserve">What 3-5 Cookware &amp; Utensils decisions do you wish your team could answer in five minutes instead of manual research?</t>
  </si>
  <si>
    <t xml:space="preserve">Same closing question as the Bakeware track — defines what the AI copilot actually needs to do for this category specifically</t>
  </si>
  <si>
    <t xml:space="preserve">What NOT to Claim — Same Discipline as Bakeware Track</t>
  </si>
  <si>
    <t xml:space="preserve">Do not say: 'This is the bestseller' (badge meaning unconfirmed) / 'qCommerce assortment is deliberately curated' (intent unconfirmed) / 'The Instamart partnership proves strong brand relationships' (nature of partnership unconfirmed) / '92 unique cookware SKUs' as a firm number (overlap with Saucepans/Casseroles unconfirmed). Instead: state what was directly observed, and flag explicitly what would need internal data or founder confirmation to become a fact rather than a hypothesis.</t>
  </si>
  <si>
    <t xml:space="preserve">Bakeware — Analysis</t>
  </si>
  <si>
    <t xml:space="preserve">▶ SOURCE: Bakeware — Category Audit</t>
  </si>
  <si>
    <t xml:space="preserve">Bakeware — Own-Catalogue Deep Audit</t>
  </si>
  <si>
    <t xml:space="preserve">Verified directly against live site, Aug 2026 | Integrates and re-checks earlier team research</t>
  </si>
  <si>
    <t xml:space="preserve">Headline Finding</t>
  </si>
  <si>
    <t xml:space="preserve">Bakeware is not a small category with 2 products. It is a 392-record catalogue where all but 2 records are marked unavailable, and CRITICALLY, live verification (Aug 19, 2026) shows that even those 2 'in stock' records display a 'Sold Out' button on the actual collection page — a genuine data-integrity issue not previously flagged. This means the honest current answer may be ZERO purchasable Bakeware SKUs, not two. This is the single most important fact for the founder conversation.</t>
  </si>
  <si>
    <t xml:space="preserve">Catalogue Snapshot (verified live, Aug 19 2026)</t>
  </si>
  <si>
    <t xml:space="preserve">Value</t>
  </si>
  <si>
    <t xml:space="preserve">Verification Note</t>
  </si>
  <si>
    <t xml:space="preserve">Total Bakeware catalogue records</t>
  </si>
  <si>
    <t xml:space="preserve">392</t>
  </si>
  <si>
    <t xml:space="preserve">Confirmed live via site filter facets</t>
  </si>
  <si>
    <t xml:space="preserve">Currently tagged 'In stock' (site filter)</t>
  </si>
  <si>
    <t xml:space="preserve">Confirmed live</t>
  </si>
  <si>
    <t xml:space="preserve">Currently tagged 'Out of stock' (site filter)</t>
  </si>
  <si>
    <t xml:space="preserve">390</t>
  </si>
  <si>
    <t xml:space="preserve">NEW FINDING: Both 'in stock' items show 'Sold Out' button</t>
  </si>
  <si>
    <t xml:space="preserve">Yes — confirmed</t>
  </si>
  <si>
    <t xml:space="preserve">Both the ₹2,230 ceramic set and ₹1,750 glass set display 'Add to Cart / Sold Out' on the live collection page despite the 'In stock' filter tag — a genuine site data-integrity gap</t>
  </si>
  <si>
    <t xml:space="preserve">Baking Dish (type)</t>
  </si>
  <si>
    <t xml:space="preserve">195</t>
  </si>
  <si>
    <t xml:space="preserve">Baking Tray (type)</t>
  </si>
  <si>
    <t xml:space="preserve">74</t>
  </si>
  <si>
    <t xml:space="preserve">Mould (type)</t>
  </si>
  <si>
    <t xml:space="preserve">117</t>
  </si>
  <si>
    <t xml:space="preserve">Cake Decorating Supplies (type)</t>
  </si>
  <si>
    <t xml:space="preserve">Ceramic (material)</t>
  </si>
  <si>
    <t xml:space="preserve">262</t>
  </si>
  <si>
    <t xml:space="preserve">Silicone (material)</t>
  </si>
  <si>
    <t xml:space="preserve">101</t>
  </si>
  <si>
    <t xml:space="preserve">Glass (material) — note duplicate tag</t>
  </si>
  <si>
    <t xml:space="preserve">3 + 1 ('glass' lowercase)</t>
  </si>
  <si>
    <t xml:space="preserve">Confirmed live — same normalization gap flagged for Colour (Yellow/yellow: 73+1)</t>
  </si>
  <si>
    <t xml:space="preserve">Current live price band</t>
  </si>
  <si>
    <t xml:space="preserve">₹1,750 – ₹2,230</t>
  </si>
  <si>
    <t xml:space="preserve">Confirmed live — both flagged Sold Out</t>
  </si>
  <si>
    <t xml:space="preserve">Housewarming-tagged records</t>
  </si>
  <si>
    <t xml:space="preserve">169 of 392 (43%)</t>
  </si>
  <si>
    <t xml:space="preserve">Confirmed live — highest single occasion tag</t>
  </si>
  <si>
    <t xml:space="preserve">Christmas-tagged records</t>
  </si>
  <si>
    <t xml:space="preserve">122 of 392 (31%)</t>
  </si>
  <si>
    <t xml:space="preserve">Diwali-tagged records</t>
  </si>
  <si>
    <t xml:space="preserve">113 of 392 (29%)</t>
  </si>
  <si>
    <t xml:space="preserve">The Two 'Live' SKUs — Detail</t>
  </si>
  <si>
    <t xml:space="preserve">Ceramic Set</t>
  </si>
  <si>
    <t xml:space="preserve">Glass Set</t>
  </si>
  <si>
    <t xml:space="preserve">Product name</t>
  </si>
  <si>
    <t xml:space="preserve">Set Of 2 Ceramic Dishes For Baking And Serving</t>
  </si>
  <si>
    <t xml:space="preserve">Glass Baking Dish with Heat Protectant Silicone Grips Set of 2</t>
  </si>
  <si>
    <t xml:space="preserve">Price</t>
  </si>
  <si>
    <t xml:space="preserve">₹2,230 (was ₹3,150, 29% off — live figure; earlier team pull showed ₹2,090/34% off, suggesting price fluctuates)</t>
  </si>
  <si>
    <t xml:space="preserve">₹1,750 (was ₹2,700, 35% off)</t>
  </si>
  <si>
    <t xml:space="preserve">On-site reviews</t>
  </si>
  <si>
    <t xml:space="preserve">5 (per earlier team research; product carries 'Ceramic Bakeware' review page separately)</t>
  </si>
  <si>
    <t xml:space="preserve">Not independently re-confirmed this pass</t>
  </si>
  <si>
    <t xml:space="preserve">Add-to-cart status (live, Aug 19)</t>
  </si>
  <si>
    <t xml:space="preserve">SOLD OUT despite 'in stock' filter tag</t>
  </si>
  <si>
    <t xml:space="preserve">Origin</t>
  </si>
  <si>
    <t xml:space="preserve">PRC (People's Republic of China) — per earlier team research, not re-verified by Claude this pass</t>
  </si>
  <si>
    <t xml:space="preserve">PRC — per earlier team research, not re-verified by Claude this pass</t>
  </si>
  <si>
    <t xml:space="preserve">Orphaned Legacy Product Pages (confirmed live, not in main collection)</t>
  </si>
  <si>
    <t xml:space="preserve">Product</t>
  </si>
  <si>
    <t xml:space="preserve">Price (historical)</t>
  </si>
  <si>
    <t xml:space="preserve">Reviews (confirmed live)</t>
  </si>
  <si>
    <t xml:space="preserve">Ceramic Bakeware</t>
  </si>
  <si>
    <t xml:space="preserve">Not re-confirmed this pass</t>
  </si>
  <si>
    <t xml:space="preserve">5 reviews — CONFIRMED live page, 100% positive</t>
  </si>
  <si>
    <t xml:space="preserve">Ceramic Baking Dish</t>
  </si>
  <si>
    <t xml:space="preserve">₹650 (per earlier research)</t>
  </si>
  <si>
    <t xml:space="preserve">11 reviews — CONFIRMED live page, 82% 5-star / 18% 4-star</t>
  </si>
  <si>
    <t xml:space="preserve">Ceramic Baking Tray</t>
  </si>
  <si>
    <t xml:space="preserve">12 reviews — CONFIRMED live page, 92% 5-star / 8% 4-star</t>
  </si>
  <si>
    <t xml:space="preserve">Ceramic Baking Deep Dish 600ml</t>
  </si>
  <si>
    <t xml:space="preserve">6 reviews — CONFIRMED live page, 100% positive</t>
  </si>
  <si>
    <t xml:space="preserve">Rectangular Ceramic Baking Dish With Handle White 650ml</t>
  </si>
  <si>
    <t xml:space="preserve">650ml size, detailed FAQ copy still live</t>
  </si>
  <si>
    <t xml:space="preserve">Review count not captured this pass</t>
  </si>
  <si>
    <t xml:space="preserve">Why this matters: these pages are indexed, reachable, carry real accumulated reviews, and rank in search — but are NOT part of the current 392-record 'Bakeware' collection a browsing customer would see. This is consistent with the team's original 'lost price ladder' finding: legitimate, review-validated products in the ₹415–₹950 band exist on the domain but are functionally invisible to a new visitor browsing the category page.</t>
  </si>
  <si>
    <t xml:space="preserve">▶ SOURCE: Bakeware — Price Ladder &amp; JTBD</t>
  </si>
  <si>
    <t xml:space="preserve">Bakeware — Price Ladder Collapse &amp; Job-to-be-Done Reframe</t>
  </si>
  <si>
    <t xml:space="preserve">Why 'oven-to-table' may be the real proposition, not 'baking equipment'</t>
  </si>
  <si>
    <t xml:space="preserve">The Price Ladder That Disappeared</t>
  </si>
  <si>
    <t xml:space="preserve">Historical entry products (per earlier research, not all re-verified live)</t>
  </si>
  <si>
    <t xml:space="preserve">Reviews (where confirmed)</t>
  </si>
  <si>
    <t xml:space="preserve">₹550 (historical)</t>
  </si>
  <si>
    <t xml:space="preserve">12 — CONFIRMED live page</t>
  </si>
  <si>
    <t xml:space="preserve">₹650 (historical)</t>
  </si>
  <si>
    <t xml:space="preserve">11 — CONFIRMED live page</t>
  </si>
  <si>
    <t xml:space="preserve">Green Ramekin Set of 6</t>
  </si>
  <si>
    <t xml:space="preserve">₹750 (historical)</t>
  </si>
  <si>
    <t xml:space="preserve">Not re-confirmed</t>
  </si>
  <si>
    <t xml:space="preserve">White Ramekin Set of 6</t>
  </si>
  <si>
    <t xml:space="preserve">₹950 (historical)</t>
  </si>
  <si>
    <t xml:space="preserve">Floral Baking Tray</t>
  </si>
  <si>
    <t xml:space="preserve">₹820 (historical)</t>
  </si>
  <si>
    <t xml:space="preserve">6 (per earlier research)</t>
  </si>
  <si>
    <t xml:space="preserve">— current entry point —</t>
  </si>
  <si>
    <t xml:space="preserve">₹1,750 (live, though flagged Sold Out)</t>
  </si>
  <si>
    <t xml:space="preserve">A new Nestasia customer can no longer trial Bakeware at ₹550-950. Some of these lower-ticket historical SKUs carry MORE accumulated reviews than either current live SKU — this doesn't prove they sold better (review count is not sales), but it's a real, verifiable pattern worth asking about directly.</t>
  </si>
  <si>
    <t xml:space="preserve">Job-to-be-Done: Bake → Serve → Host → Gift</t>
  </si>
  <si>
    <t xml:space="preserve">Nestasia's own product copy repeatedly frames Bakeware as moving from oven to dining table, explicitly for hosting and gifting — not purely technical baking performance. The glass SKU's copy even suggests use with candles/potpourri as a centrepiece. Historical catalogue tagging (169 Housewarming, 122 Christmas, 113 Diwali records) reinforces this. This suggests two DIFFERENT customers can land on the same PDP: one searching 'best baking dish for lasagna' (functional JTBD), another searching 'premium housewarming kitchen gift' (gifting JTBD) — and the AI/knowledge base should learn to distinguish these, not treat all Bakeware traffic as one intent.</t>
  </si>
  <si>
    <t xml:space="preserve">Proposed Reframed Proposition (hypothesis, not recommendation)</t>
  </si>
  <si>
    <t xml:space="preserve">"Design-led Bake &amp; Serve — beautiful enough for the table, functional enough for the oven." This deliberately avoids competing head-on with Borosil/functional players on heat resistance and warranty, and instead leans into aesthetics + hosting + gifting — territory Nestasia already owns elsewhere in its brand. NOTE: Freedom Tree already uses almost identical language ("Bakeware That Goes from Oven to Table") — so this is not an uncontested blue ocean, but it does clarify who the RIGHT competitive set is (Freedom Tree, Ellementry) versus the wrong one (Borosil alone).</t>
  </si>
  <si>
    <t xml:space="preserve">Bakeware — Competitors</t>
  </si>
  <si>
    <t xml:space="preserve">▶ SOURCE: Bakeware — Competitors</t>
  </si>
  <si>
    <t xml:space="preserve">Bakeware — Competitive Landscape</t>
  </si>
  <si>
    <t xml:space="preserve">What each competitor owns strategically | Freedom Tree pricing verified live Aug 19 2026</t>
  </si>
  <si>
    <t xml:space="preserve">What They Own</t>
  </si>
  <si>
    <t xml:space="preserve">Entry Price</t>
  </si>
  <si>
    <t xml:space="preserve">Verified Evidence</t>
  </si>
  <si>
    <t xml:space="preserve">Threat Level</t>
  </si>
  <si>
    <t xml:space="preserve">Functional trust — heat performance, material credibility, 2-year manufacturing-defect warranty on some lines</t>
  </si>
  <si>
    <t xml:space="preserve">~₹319 (Zepto listing)</t>
  </si>
  <si>
    <t xml:space="preserve">Per earlier team research + confirmed present on Zepto/Instamart qCommerce for bakeware specifically — Nestasia is NOT currently indexed there for Bakeware</t>
  </si>
  <si>
    <t xml:space="preserve">High — sets the functional-trust benchmark Nestasia doesn't compete on</t>
  </si>
  <si>
    <t xml:space="preserve">The complete baking mission/basket + 70+ physical stores (~2,100 sqm avg) for touch-and-feel</t>
  </si>
  <si>
    <t xml:space="preserve">~₹199 (measuring cup)</t>
  </si>
  <si>
    <t xml:space="preserve">Per earlier team research, not independently re-verified by Claude this pass</t>
  </si>
  <si>
    <t xml:space="preserve">High — owns incremental basket-building (₹199→₹319→₹399→₹559→₹799) that Nestasia's ₹1,750 entry point cannot match</t>
  </si>
  <si>
    <t xml:space="preserve">IKEA</t>
  </si>
  <si>
    <t xml:space="preserve">Value + deep assortment + strong review social proof</t>
  </si>
  <si>
    <t xml:space="preserve">~₹399 (sale-priced oven dish, 86 reviews)</t>
  </si>
  <si>
    <t xml:space="preserve">Per earlier team research — India listing of 17 ovenware items cited, not independently re-verified by Claude this pass</t>
  </si>
  <si>
    <t xml:space="preserve">High — review density alone (198-1,150 per item cited) dwarfs Nestasia's current 5-11 per SKU</t>
  </si>
  <si>
    <t xml:space="preserve">Freedom Tree</t>
  </si>
  <si>
    <t xml:space="preserve">Design-led 'oven-to-table' positioning — closest strategic peer to Nestasia's likely reframed proposition</t>
  </si>
  <si>
    <t xml:space="preserve">₹616 (ramekin set of 2, CONFIRMED live, currently on sale from ₹880)</t>
  </si>
  <si>
    <t xml:space="preserve">CONFIRMED live Aug 19 2026: ramekins ₹616-880, baking dishes ₹1,140-₹2,296 (sale pricing), explicit 'oven-to-table' marketing language matching Nestasia's likely reframe. No review counts visible on Freedom Tree PDPs — cannot claim they outperform Nestasia on reviews, only that comparison is currently impossible from public data.</t>
  </si>
  <si>
    <t xml:space="preserve">Highest strategic relevance — same proposition, live functioning price ladder Nestasia currently lacks</t>
  </si>
  <si>
    <t xml:space="preserve">Artisan/hand-glazed ceramic premium benchmark</t>
  </si>
  <si>
    <t xml:space="preserve">~₹1,490 (per earlier research)</t>
  </si>
  <si>
    <t xml:space="preserve">Medium — validates that ₹1,490-1,590 ceramic pricing is viable in-market, similar band to Nestasia's ₹2,230</t>
  </si>
  <si>
    <t xml:space="preserve">Important Correction on Reviews/Sales Claims</t>
  </si>
  <si>
    <t xml:space="preserve">The earlier team research explicitly and correctly declined to state a Freedom Tree Bakeware-specific sales or review figure, noting only that Nykaa shows Freedom Tree's OVERALL brand (not Bakeware specifically) has fulfilled 2,000+ orders with 100+ ratings, and that Freedom Tree's total company revenue (~₹15+ crore FY25) spans furniture, textiles, dining and apparel — not just Bakeware. This discipline should be maintained: do not tell the founder 'Freedom Tree outsells us in Bakeware' — there is no evidence for that claim, in either direction.</t>
  </si>
  <si>
    <t xml:space="preserve">Bakeware — Channels</t>
  </si>
  <si>
    <t xml:space="preserve">▶ SOURCE: Bakeware — qCommerce Fit</t>
  </si>
  <si>
    <t xml:space="preserve">Bakeware — Why Price Point Matters More Than Category for qCommerce Fit</t>
  </si>
  <si>
    <t xml:space="preserve">Nestasia Bakeware not currently found on Blinkit/Zepto/Instamart — competitors already are</t>
  </si>
  <si>
    <t xml:space="preserve">Current State</t>
  </si>
  <si>
    <t xml:space="preserve">Bakeware already exists on qCommerce — Zepto lists Borosil and Signoraware bake-and-serve dishes around ₹319-639, and Instamart also carries Borosil bake-and-serve items (per earlier team research). Nestasia Bakeware specifically was NOT found indexed on Blinkit/Zepto/Instamart in that research pass — note this does not prove zero city-level availability, only that it wasn't found. (Separately confirmed elsewhere in this project: Nestasia DOES have active Blinkit/Zepto/Instamart storefronts for Kitchen &amp; Dining and Serveware categories generally — so the absence is specific to Bakeware, not the brand's qCommerce presence as a whole.)</t>
  </si>
  <si>
    <t xml:space="preserve">Why NOT to Push the Current ₹2,230 Ceramic Set to qCommerce Yet</t>
  </si>
  <si>
    <t xml:space="preserve">₹500 Ramekin/Mould/Mitt</t>
  </si>
  <si>
    <t xml:space="preserve">₹2,230 Fragile Ceramic Set</t>
  </si>
  <si>
    <t xml:space="preserve">Compact — easier dark-store stocking</t>
  </si>
  <si>
    <t xml:space="preserve">Bigger — more inventory capital required</t>
  </si>
  <si>
    <t xml:space="preserve">Lower consumer commitment — impulse-friendly</t>
  </si>
  <si>
    <t xml:space="preserve">Higher breakage risk in rapid dark-store handling</t>
  </si>
  <si>
    <t xml:space="preserve">Matches urgent-trigger occasions: 'guests coming tonight', 'need ramekins for dessert', 'forgot an oven mitt'</t>
  </si>
  <si>
    <t xml:space="preserve">More considered purchase — doesn't match qCommerce's urgency-driven use case</t>
  </si>
  <si>
    <t xml:space="preserve">Conclusion: pilot where product-channel fit is strongest first. Interestingly, Nestasia previously had products at exactly these trial price points (₹415, ₹650, ₹950) — reviving even a subset of the collapsed price ladder specifically as qCommerce SKUs could test both hypotheses (price-ladder gap AND qCommerce channel fit) with a single, low-risk pilot.</t>
  </si>
  <si>
    <t xml:space="preserve">Bakeware — Insights</t>
  </si>
  <si>
    <t xml:space="preserve">▶ SOURCE: Bakeware — Ceramic vs Glass</t>
  </si>
  <si>
    <t xml:space="preserve">Bakeware — Why Ceramic AND Glass? A Portfolio-Architecture Hypothesis</t>
  </si>
  <si>
    <t xml:space="preserve">Original insight from team research — reframed as hypothesis, not fact</t>
  </si>
  <si>
    <t xml:space="preserve">The Observation</t>
  </si>
  <si>
    <t xml:space="preserve">Nestasia's own content 'strongly encourages' ceramic — 262 of 392 historical Bakeware records (67%) are tagged Ceramic, the largest material by far. Yet of the only two currently live SKUs, one is ceramic and one is borosilicate glass. The copy for each is written in a genuinely different register.</t>
  </si>
  <si>
    <t xml:space="preserve">Ceramic (₹2,230)</t>
  </si>
  <si>
    <t xml:space="preserve">Glass (₹1,750)</t>
  </si>
  <si>
    <t xml:space="preserve">Language register</t>
  </si>
  <si>
    <t xml:space="preserve">"form and function", elegance, hand-glazed finish, stylish addition</t>
  </si>
  <si>
    <t xml:space="preserve">"effortless cooking", transparency, silicone grips, performance/convenience</t>
  </si>
  <si>
    <t xml:space="preserve">Possible job</t>
  </si>
  <si>
    <t xml:space="preserve">Design/differentiation hero — table presentation, gifting, brand identity</t>
  </si>
  <si>
    <t xml:space="preserve">Functional/value anchor — familiar borosilicate category, easier to compare, lower friction</t>
  </si>
  <si>
    <t xml:space="preserve">Risk if this is the strategy</t>
  </si>
  <si>
    <t xml:space="preserve">Ceramic alone competes purely on taste — harder to defend on price/durability arguments</t>
  </si>
  <si>
    <t xml:space="preserve">Glass alone commoditizes Nestasia against Borosil, IKEA, and every functional player</t>
  </si>
  <si>
    <t xml:space="preserve">Two Competing Explanations — Neither Confirmed</t>
  </si>
  <si>
    <t xml:space="preserve">Hypothesis A — Deliberate portfolio architecture</t>
  </si>
  <si>
    <t xml:space="preserve">Ceramic = premium/design hero, Glass = functional/value anchor. This would be a coherent, common strategy (comparable to how many D2C brands run a 'hero' + 'entry' SKU pair) — but there is zero internal evidence yet that this was planned rather than incidental.</t>
  </si>
  <si>
    <t xml:space="preserve">Hypothesis B — These are simply the two SKUs sourcing/inventory left behind</t>
  </si>
  <si>
    <t xml:space="preserve">If the other 390 records went out of stock for supply-chain or vendor reasons unrelated to strategy, the current ceramic+glass split could be coincidental, not designed.</t>
  </si>
  <si>
    <t xml:space="preserve">The Founder Question This Justifies</t>
  </si>
  <si>
    <t xml:space="preserve">"Your content strongly pushes ceramic, and historically your catalogue was two-thirds ceramic — but the two SKUs that survived are one ceramic and one glass. Was that intentional portfolio design (ceramic as the design/premium hero, glass as the functional/value anchor), or are these simply the two products that happened to remain available? And if ceramic is the material you want Bakeware associated with, what role should glass play going forward?"</t>
  </si>
  <si>
    <t xml:space="preserve">▶ SOURCE: Bakeware — Market Sizing</t>
  </si>
  <si>
    <t xml:space="preserve">Bakeware — Market Sizing (TAM/SAM, B2B/B2C)</t>
  </si>
  <si>
    <t xml:space="preserve">Sourced from Grand View Research via earlier team research — NOT independently re-verified by Claude this pass</t>
  </si>
  <si>
    <t xml:space="preserve">⚠️ Sourcing Caveat — Read First</t>
  </si>
  <si>
    <t xml:space="preserve">The figures below originate from the earlier team member's research (citing Grand View Research market reports) and have NOT been independently re-pulled or re-verified by Claude in this session. They are included here for completeness and because they represent a genuinely useful sizing FRAMEWORK, but should be treated as secondary-source figures requiring their own verification pass before being presented as confirmed facts to the founder.</t>
  </si>
  <si>
    <t xml:space="preserve">India Bakeware TAM (as reported by earlier research)</t>
  </si>
  <si>
    <t xml:space="preserve">Figure</t>
  </si>
  <si>
    <t xml:space="preserve">Source Note</t>
  </si>
  <si>
    <t xml:space="preserve">India Bakeware market, 2025</t>
  </si>
  <si>
    <t xml:space="preserve">US$188 million</t>
  </si>
  <si>
    <t xml:space="preserve">Cited to Grand View Research — not re-verified</t>
  </si>
  <si>
    <t xml:space="preserve">Projected CAGR through 2033</t>
  </si>
  <si>
    <t xml:space="preserve">9.1%</t>
  </si>
  <si>
    <t xml:space="preserve">Projected 2033 value</t>
  </si>
  <si>
    <t xml:space="preserve">US$370.8 million</t>
  </si>
  <si>
    <t xml:space="preserve">Approx. 2026 run-rate (mechanical extrapolation)</t>
  </si>
  <si>
    <t xml:space="preserve">~US$205 million</t>
  </si>
  <si>
    <t xml:space="preserve">This is the earlier researcher's OWN calculation applying the stated CAGR — explicitly labeled an approximation, not a separately published figure</t>
  </si>
  <si>
    <t xml:space="preserve">Largest segment</t>
  </si>
  <si>
    <t xml:space="preserve">Pans &amp; dishes</t>
  </si>
  <si>
    <t xml:space="preserve">Fastest-growing segment</t>
  </si>
  <si>
    <t xml:space="preserve">Moulds</t>
  </si>
  <si>
    <t xml:space="preserve">India OTG market, 2024</t>
  </si>
  <si>
    <t xml:space="preserve">US$479.1 million</t>
  </si>
  <si>
    <t xml:space="preserve">Cited as supporting context for appliance-ownership gate — not re-verified</t>
  </si>
  <si>
    <t xml:space="preserve">India OTG market, projected 2030</t>
  </si>
  <si>
    <t xml:space="preserve">US$775.2 million (8.35% CAGR)</t>
  </si>
  <si>
    <t xml:space="preserve">Cited as supporting context — not re-verified</t>
  </si>
  <si>
    <t xml:space="preserve">B2B vs B2C Split — Explicitly Labeled as a Scenario, Not a Fact</t>
  </si>
  <si>
    <t xml:space="preserve">The India-specific report reportedly does NOT disclose a B2B/B2C split. The earlier researcher used the GLOBAL end-use mix (54.3% commercial / 45.7% household) as an illustrative proxy ONLY — applying it to the India figure produces ~US$111m commercial / ~US$94m household as a planning SCENARIO, explicitly not a confirmed India fact. This distinction must be preserved if these numbers are used in the founder meeting — presenting a global-proxy calculation as an India-specific finding would be a real overclaim.</t>
  </si>
  <si>
    <t xml:space="preserve">Recommended Market-Sizing Approach (Top-Down)</t>
  </si>
  <si>
    <t xml:space="preserve">Layer</t>
  </si>
  <si>
    <t xml:space="preserve">Definition</t>
  </si>
  <si>
    <t xml:space="preserve">Status</t>
  </si>
  <si>
    <t xml:space="preserve">TAM</t>
  </si>
  <si>
    <t xml:space="preserve">All Indian household Bakeware demand</t>
  </si>
  <si>
    <t xml:space="preserve">Sized above (secondary source, unverified)</t>
  </si>
  <si>
    <t xml:space="preserve">Core SAM</t>
  </si>
  <si>
    <t xml:space="preserve">Households with a compatible appliance (OTG/convection oven/suitable microwave) + some air-fryer-led usage</t>
  </si>
  <si>
    <t xml:space="preserve">No reliable public 'X% of Indian households own an oven' figure found — genuine research gap, not something to estimate without a source</t>
  </si>
  <si>
    <t xml:space="preserve">Nestasia's real SAM</t>
  </si>
  <si>
    <t xml:space="preserve">Compatible-appliance household × urban/e-commerce reachable × willingness to pay premium for design × Nestasia's price band</t>
  </si>
  <si>
    <t xml:space="preserve">Requires Nestasia's own customer data — cannot be sized from public sources alone</t>
  </si>
  <si>
    <t xml:space="preserve">Nestasia Bakeware market share</t>
  </si>
  <si>
    <t xml:space="preserve">Nestasia Bakeware net sales ÷ India Bakeware market sales</t>
  </si>
  <si>
    <t xml:space="preserve">CANNOT be calculated without Nestasia's internal sales data — do not estimate or guess this number</t>
  </si>
  <si>
    <t xml:space="preserve">B2B Segmentation — Not All Commercial Demand Fits Nestasia</t>
  </si>
  <si>
    <t xml:space="preserve">Nestasia-fit B2B segment</t>
  </si>
  <si>
    <t xml:space="preserve">Why It Fits</t>
  </si>
  <si>
    <t xml:space="preserve">Boutique cafés/patisseries</t>
  </si>
  <si>
    <t xml:space="preserve">Oven-to-table individual dishes match presentation need</t>
  </si>
  <si>
    <t xml:space="preserve">Premium restaurants</t>
  </si>
  <si>
    <t xml:space="preserve">Presentation-led gratin/baked serving dishes</t>
  </si>
  <si>
    <t xml:space="preserve">Hotels</t>
  </si>
  <si>
    <t xml:space="preserve">Premium table presentation for room service/dining</t>
  </si>
  <si>
    <t xml:space="preserve">Catering/events</t>
  </si>
  <si>
    <t xml:space="preserve">Attractive serving + baking pieces for events</t>
  </si>
  <si>
    <t xml:space="preserve">Home bakers / micro businesses</t>
  </si>
  <si>
    <t xml:space="preserve">Starter or professional-tier sets</t>
  </si>
  <si>
    <t xml:space="preserve">Corporate gifting</t>
  </si>
  <si>
    <t xml:space="preserve">Diwali/employee/client gifting occasions</t>
  </si>
  <si>
    <t xml:space="preserve">Wedding/trousseau companies</t>
  </si>
  <si>
    <t xml:space="preserve">Premium utility gift category</t>
  </si>
  <si>
    <t xml:space="preserve">OTG/oven appliance brands</t>
  </si>
  <si>
    <t xml:space="preserve">Bundled starter-kit partnership at the exact purchase-trigger moment of buying a first oven</t>
  </si>
  <si>
    <t xml:space="preserve">Culinary schools/workshops</t>
  </si>
  <si>
    <t xml:space="preserve">Trial or education kit potential</t>
  </si>
  <si>
    <t xml:space="preserve">Supporting evidence: both currently-live Bakeware PDPs display a 'Want to buy this in bulk?' CTA — confirming some B2B intent-capture mechanism already exists on-site, though its usage/conversion is unknown.</t>
  </si>
  <si>
    <t xml:space="preserve">▶ SOURCE: Bakeware — CJM &amp; Cannibal.</t>
  </si>
  <si>
    <t xml:space="preserve">Bakeware — Need-State CJM, Mission Bundling &amp; Internal Cannibalisation</t>
  </si>
  <si>
    <t xml:space="preserve">Three linked hypotheses worth testing with internal data</t>
  </si>
  <si>
    <t xml:space="preserve">1. Need-State Journey (not just funnel steps)</t>
  </si>
  <si>
    <t xml:space="preserve">A conversion funnel (Ad → Site → PDP → Cart → Purchase) shows WHAT a customer did. A need-state journey shows WHY they moved between stages. For Bakeware, the same PDP can serve two entirely different intents: 'I searched best baking dish for lasagna' (functional JTBD) vs. 'I searched premium housewarming kitchen gift' (gifting JTBD) — identical page, completely different job. The AI copilot should learn to distinguish WHICH need-state drove a visit, not just log that a visit happened, or it will conflate two different customers into one flat 'Bakeware buyer' profile.</t>
  </si>
  <si>
    <t xml:space="preserve">2. Mission Bundling — A Lost Merchandising Architecture, Not Just an SKU Gap</t>
  </si>
  <si>
    <t xml:space="preserve">Then (historical)</t>
  </si>
  <si>
    <t xml:space="preserve">Now (current)</t>
  </si>
  <si>
    <t xml:space="preserve">'Baking Hamper for Mom' — apron + 4 ramekins + baking dish + crate + lunch bag</t>
  </si>
  <si>
    <t xml:space="preserve">Ceramic set cross-sells with snack bowls; Glass set cross-sells with a Sera dinner-plate set</t>
  </si>
  <si>
    <t xml:space="preserve">Educational content walked through a full 'baker's cupboard': measuring cups/spoons, mixing bowl, sieve, parchment, whisk/spatula, tray</t>
  </si>
  <si>
    <t xml:space="preserve">Cross-sell logic appears to optimize general cross-category AOV, not baking-mission completion</t>
  </si>
  <si>
    <t xml:space="preserve">This may indicate Nestasia is currently optimizing cross-category AOV rather than Bakeware category penetration specifically. Neither approach is inherently wrong — but the founder should clarify the objective: is Bakeware meant to build its OWN customer mission (bake→serve→host), or is it intentionally a feeder/attachment category into Dining? The answer changes what the AI should optimize for.</t>
  </si>
  <si>
    <t xml:space="preserve">3. Internal Cannibalisation Hypothesis</t>
  </si>
  <si>
    <t xml:space="preserve">Both live Bakeware PDPs surface lower-priced alternatives from OTHER Nestasia categories: an All Purpose Serving Pot at ₹1,090 and a Pebble Textured Serving Bowl with Glass Lid at ₹1,090 appear alongside the ₹1,750-2,230 Bakeware products. A customer who mainly wants 'an attractive vessel for the dining table' — rather than specifically needing oven-safe baking performance — may rationally choose the cheaper Casserole/Serving Bowl instead. This is a genuine, testable hypothesis: Bakeware may not be creating incremental demand so much as splitting an existing 'beautiful serving vessel' demand pool with Casseroles/Serving Bowls, which are cheaper and already well-stocked.</t>
  </si>
  <si>
    <t xml:space="preserve">How to Actually Test the Cannibalisation Hypothesis</t>
  </si>
  <si>
    <t xml:space="preserve">Requires from Nestasia: product-page navigation paths, on-site search terms, co-purchase data, category-switching behaviour, and abandoned-cart destinations. If confirmed, the AI could surface a genuinely valuable insight: 'Visitors to Bakeware who don't convert disproportionately end up purchasing Casseroles instead' — a specific, actionable finding rather than a vague 'Bakeware underperforms.'</t>
  </si>
  <si>
    <t xml:space="preserve">▶ SOURCE: Bakeware — Founder Qs &amp; Story</t>
  </si>
  <si>
    <t xml:space="preserve">Bakeware — Founder Questions &amp; Potential Brand Story</t>
  </si>
  <si>
    <t xml:space="preserve">12 prioritized questions + a 'Bake. Serve. Celebrate.' narrative concept</t>
  </si>
  <si>
    <t xml:space="preserve">12 Founder Questions, in Priority Order</t>
  </si>
  <si>
    <t xml:space="preserve">Is the current 390/392 out-of-stock position — and the fact both 'in stock' items show Sold Out — intentional (category exit/reset) or a sourcing/inventory situation?</t>
  </si>
  <si>
    <t xml:space="preserve">Determines whether the AI should find growth opportunities or monitor a rationalising category</t>
  </si>
  <si>
    <t xml:space="preserve">Why these specific two SKUs (one ceramic, one glass)? Was it deliberate portfolio design?</t>
  </si>
  <si>
    <t xml:space="preserve">Tests whether a ceramic=design-hero / glass=functional-anchor strategy exists or is coincidental</t>
  </si>
  <si>
    <t xml:space="preserve">Your content strongly pushes ceramic (67% of historical catalogue) — what role do you want ceramic to own in Bakeware specifically?</t>
  </si>
  <si>
    <t xml:space="preserve">Reveals the intended brand proposition</t>
  </si>
  <si>
    <t xml:space="preserve">The sub-₹1,000 price ladder existed (₹550-950 items with real reviews) and has disappeared. Why?</t>
  </si>
  <si>
    <t xml:space="preserve">Tests margin, sourcing, breakage, or genuine-demand explanations</t>
  </si>
  <si>
    <t xml:space="preserve">Can we get 12-18 months of SKU-level sales, margin, sell-through, traffic, stock age, replenishment and returns?</t>
  </si>
  <si>
    <t xml:space="preserve">The only way to identify actual heroes/laggards — public data cannot answer this</t>
  </si>
  <si>
    <t xml:space="preserve">What are breakage/return rates for ceramic vs. glass specifically?</t>
  </si>
  <si>
    <t xml:space="preserve">May explain the assortment contraction better than a demand-based story</t>
  </si>
  <si>
    <t xml:space="preserve">Is Bakeware meant to be Baking, Bake &amp; Serve, a Dining attachment category, or a Gifting category?</t>
  </si>
  <si>
    <t xml:space="preserve">Defines the JTBD and the AI's objective function</t>
  </si>
  <si>
    <t xml:space="preserve">Do Bakeware visitors who don't convert disproportionately end up purchasing Casseroles or Serving Bowls instead?</t>
  </si>
  <si>
    <t xml:space="preserve">Tests the internal cannibalisation hypothesis directly</t>
  </si>
  <si>
    <t xml:space="preserve">Why is current cross-sell general Dining rather than a baking mission (ramekins+measuring tools+apron+spatula)? Was the earlier 'Baking Hamper for Mom' style bundling intentionally discontinued?</t>
  </si>
  <si>
    <t xml:space="preserve">Determines the merchandising objective — category-building vs. cross-category AOV</t>
  </si>
  <si>
    <t xml:space="preserve">10</t>
  </si>
  <si>
    <t xml:space="preserve">Could reviving ₹500-900 ramekins/accessories/small bake-and-serve items work as an acquisition layer, including on qCommerce?</t>
  </si>
  <si>
    <t xml:space="preserve">Tests price-ladder revival and channel expansion together</t>
  </si>
  <si>
    <t xml:space="preserve">11</t>
  </si>
  <si>
    <t xml:space="preserve">What is the source of truth for inventory? Why do 'in stock' filter tags not match the actual 'Sold Out' button state?</t>
  </si>
  <si>
    <t xml:space="preserve">CRITICAL before any inventory data is fed into the AI — this is a data-integrity fix, not a strategy question</t>
  </si>
  <si>
    <t xml:space="preserve">12</t>
  </si>
  <si>
    <t xml:space="preserve">What 3-5 Bakeware decisions do you wish your marketing/category team could answer in five minutes instead of doing manual research?</t>
  </si>
  <si>
    <t xml:space="preserve">Directly defines what the eventual AI Copilot needs to be able to do — good closing question, shifts from diagnosis to design</t>
  </si>
  <si>
    <t xml:space="preserve">What NOT to Claim in the Founder Meeting</t>
  </si>
  <si>
    <t xml:space="preserve">Do not say: '571 ceramic units are dead inventory' / 'Glass is 93% sold through' / 'The market rejected ceramic' / 'Nestasia discontinued its winners' / 'Bakeware is failing.' None of these are supportable from public data alone — stock-count-remaining figures cannot reveal velocity without opening inventory, launch date, and replenishment history. Instead: 'The external data gives us hypotheses. Internal data and this conversation will tell us which are true.'</t>
  </si>
  <si>
    <t xml:space="preserve">Potential Brand Story — 'Bake. Serve. Celebrate.'</t>
  </si>
  <si>
    <t xml:space="preserve">Rather than generic Western cake content, Nestasia could connect baking to actual Indian hosting occasions: baked shahi tukda, baked halwa, paneer bake, au gratin, festive desserts, individual ramekin desserts, Sunday family bakes, house-party dishes. This builds toward an ecosystem: Learn (recipes/content) → Try (₹500-900 entry Bakeware) → Upgrade (₹1,500-2,500 statement ceramic) → Serve (matching dinnerware) → Host (tableware/glassware) → Gift (packaged sets) → Repeat (new collections/colours/accessories). Nestasia is already publishing beginner-facing content ('10 Baking Terms Every New Baker Must Know', 'How to Bake Without an Oven') — the seeds of this narrative already exist. Frame this to the founder as a genuine question ('could Nestasia own the journey from I-want-to-try-baking to I-bake-and-serve-beautifully'), not as India-doesn't-bake-so-we-should-fix-that overreach.</t>
  </si>
  <si>
    <t xml:space="preserve">Container (Storage Jars + Fridge Containers) — Analysis</t>
  </si>
  <si>
    <t xml:space="preserve">▶ SOURCE: Container — Category Analysis</t>
  </si>
  <si>
    <t xml:space="preserve">Container (Storage Jars + Storage Containers) — Category Analysis</t>
  </si>
  <si>
    <t xml:space="preserve">Researcher: Khushi | Integrated into master workbook Aug 2026</t>
  </si>
  <si>
    <t xml:space="preserve">Part 1: Company Analysis (Own Category)</t>
  </si>
  <si>
    <t xml:space="preserve">Glass Storage Jars &amp; Canisters
(nestasia.in/collections/jars-canisters)</t>
  </si>
  <si>
    <t xml:space="preserve">₹550 – ₹5,790 (site filter). Most SKUs cluster ₹700–2,900</t>
  </si>
  <si>
    <t xml:space="preserve">0–10 reviews on own site (brand appears to gate/filter display). Far higher on marketplaces — Amazon: 4.4★ (354 ratings, Amazon's Choice, 500+ bought/month); 3.8★ (322); 4.0★ (119). Flipkart reviews present but sparse per listing.</t>
  </si>
  <si>
    <t xml:space="preserve">1. Spice Jars &amp; Oil Bottles Set of 12 With Wooden Stand — ₹3,890 (30% off, ₹5,580 MRP)
2. Glass Spice Jars Set of 7 With Wooden Storage Rack — ₹2,250 (34% off), 12 reviews on-site, 92% 5-star
3. Airtight Mini Spice Jars Set of 12 100ml — ₹1,350 (29% off)</t>
  </si>
  <si>
    <t xml:space="preserve">6%–50% off (bulk of catalog sits at 30–37% off MRP)</t>
  </si>
  <si>
    <t xml:space="preserve">Sold almost entirely as sets (2–16 pcs) rather than singles; jar+wooden/bamboo stand bundled as one SKU (higher AOV). Confirmed on one product page (Set of 4 Tall Airtight Glass Storage Jars, ₹1,590): a 'frequently bought together'-style widget pairs it with a Brass Airtight Masala Box (₹4,150) and a Fluted Glass Casserole Dish (₹1,150) under one combined Add to Cart button.</t>
  </si>
  <si>
    <t xml:space="preserve">MRP doesn't scale proportionally with pack size (larger sets often cheaper per-unit). Sold on Amazon, Flipkart, and Myntra.</t>
  </si>
  <si>
    <t xml:space="preserve">Fridge / Food Storage Containers
(nestasia.in/collections/fridge-storage-containers)</t>
  </si>
  <si>
    <t xml:space="preserve">₹695 – ₹2,495 (site filter)</t>
  </si>
  <si>
    <t xml:space="preserve">0–10 reviews visible on own site, same gating pattern as jars. Off-site reviews not independently verified for this sub-line in this pass — flagged as a follow-up.</t>
  </si>
  <si>
    <t xml:space="preserve">1. Groovo Borosilicate Premium Food Container Set of 7 (310/520/1200ml) — ₹1,599 (36% off, ₹2,495 MRP)
2. Vento Food Storage Container Set of 4 (220/1320/2500ml) — ₹1,790 (50% off)
3. FreshGrid Airtight 6 Compartments Storage Box — ₹1,150 (14% off)</t>
  </si>
  <si>
    <t xml:space="preserve">12%–50% off, verified across top listings (FreshGrid compartment boxes cluster 12–20%; Groovo/Vento/Nestro sets run 30–50%)</t>
  </si>
  <si>
    <t xml:space="preserve">Organised as named product lines/sub-brands (FreshGrid, Groovo, Groovo Lite, Nestro, Gripso, SealPro, Vento) each with a distinct design story — mirrors how larger players (Treo, Signoraware) brand their container families. Material mix per site filters: Glass 65, PVC (lids/seals) 64, Silicone 52 of 77 SKUs. 64 of 77 listed as 'Set'.</t>
  </si>
  <si>
    <t xml:space="preserve">Part 2: Market Understanding</t>
  </si>
  <si>
    <t xml:space="preserve">Product Proposition</t>
  </si>
  <si>
    <t xml:space="preserve">Nestasia frames jars/containers as design-led display pieces, not pure utility. Bamboo/ceramic lids, wooden stands, fluted and textured glass, and gifting-style boxing push the category from 'storage' toward 'kitchen decor' — filling the same 'missing middle' gap (between cheap functional Milton/Cello and high-end imported glassware).</t>
  </si>
  <si>
    <t xml:space="preserve">Understand Consumers</t>
  </si>
  <si>
    <t xml:space="preserve">Buyer is shopping for a kitchen 'shelfie' aesthetic as much as function — visible glass jars on open shelving, coordinated sets rather than single jars, willingness to pay 2–4x a Milton/Cello equivalent for a matching wooden-stand or ceramic-lid set. Purchases skew toward sets (housewarming, kitchen makeover, gifting) over one-off replacement buys.</t>
  </si>
  <si>
    <t xml:space="preserve">CJM (Customer Journey Map)</t>
  </si>
  <si>
    <t xml:space="preserve">Discovery mostly via Meta/Instagram ads and Pinterest-style kitchen inspiration content → lands on category page, no touch-and-feel (glass quality/lid seal can't be verified pre-purchase) → friction point: price comparison against Milton/Cello/Home Centre at checkout, since container capacity specs are less differentiated than the visuals suggest → purchase driven by styling/photography, not spec sheet → post-purchase reviews (where visible) flag breakage in transit and inconsistent lid airtightness as the main dissatisfaction points, plus slower/limited-visibility order tracking.</t>
  </si>
  <si>
    <t xml:space="preserve">Traditional vs New Products / Market Creation</t>
  </si>
  <si>
    <t xml:space="preserve">Traditional players (Milton, Cello, Signoraware, Tupperware) sell against a functional need — airtight, leak-proof, fridge-safe storage — and compete on durability/price. Nestasia is not really competing in that need-state; it's creating a new market: 'kitchen storage as visible decor,' where the container is meant to be seen, gifted, or photographed.</t>
  </si>
  <si>
    <t xml:space="preserve">Container (Storage Jars + Fridge Containers) — Competitors</t>
  </si>
  <si>
    <t xml:space="preserve">▶ SOURCE: Container — Competitors</t>
  </si>
  <si>
    <t xml:space="preserve">Container — Competitor Analysis</t>
  </si>
  <si>
    <t xml:space="preserve">Researcher: Khushi | Direct, Indirect, and Brand-by-Brand Comparison</t>
  </si>
  <si>
    <t xml:space="preserve">Direct &amp; Indirect Competitors</t>
  </si>
  <si>
    <t xml:space="preserve">Direct Competitors</t>
  </si>
  <si>
    <t xml:space="preserve">Milton (incl. Treo by Milton), Cello, Signoraware, Borosil, Tupperware, Home Centre (offline+online)</t>
  </si>
  <si>
    <t xml:space="preserve">Direct Competitors — Offline (Home Centre)</t>
  </si>
  <si>
    <t xml:space="preserve">Home Centre runs physical stores (touch-and-feel advantage Nestasia lacks) plus homecentre.in — sells Cello, Milton, Signoraware, Borosil, Treo, Tupperware alongside its own house lines (Corsica, Marley, Mendo, Siattle, Barbados, Garnet) at ₹279–1,399, frequently on Buy-2-Get-2 promos.</t>
  </si>
  <si>
    <t xml:space="preserve">Indirect Competitors</t>
  </si>
  <si>
    <t xml:space="preserve">Traditional steel dabbas/masala boxes from local utensil shops, reusable ziplock/vacuum bags, generic Amazon Solimo/unbranded plastic containers, DMart/Big Bazaar private-label kitchenware, IKEA storage solutions, Tupperware's direct-sales/party model as a substitute buying channel.</t>
  </si>
  <si>
    <t xml:space="preserve">Competitor Brand Comparison (Container Sub-Category)</t>
  </si>
  <si>
    <t xml:space="preserve">Approx. Container/Jar SKU Count</t>
  </si>
  <si>
    <t xml:space="preserve">Glass</t>
  </si>
  <si>
    <t xml:space="preserve">Steel</t>
  </si>
  <si>
    <t xml:space="preserve">Plastic/PET</t>
  </si>
  <si>
    <t xml:space="preserve">Primary Target</t>
  </si>
  <si>
    <t xml:space="preserve">176 (99 Jars + 77 Fridge/Food Containers)</t>
  </si>
  <si>
    <t xml:space="preserve">✓</t>
  </si>
  <si>
    <t xml:space="preserve">Limited</t>
  </si>
  <si>
    <t xml:space="preserve">550–5,790</t>
  </si>
  <si>
    <t xml:space="preserve">Premium urban professionals / gifters</t>
  </si>
  <si>
    <t xml:space="preserve">Design + aesthetics + shelf-display, gifting-led</t>
  </si>
  <si>
    <t xml:space="preserve">Milton (incl. Treo)</t>
  </si>
  <si>
    <t xml:space="preserve">52 (32 Milton + 20 Treo)</t>
  </si>
  <si>
    <t xml:space="preserve">105–1,544</t>
  </si>
  <si>
    <t xml:space="preserve">Mass market, value households</t>
  </si>
  <si>
    <t xml:space="preserve">Functionality &amp; trust; broad material range</t>
  </si>
  <si>
    <t xml:space="preserve">Cello</t>
  </si>
  <si>
    <t xml:space="preserve">~90–120 (Qube Fresh, Modustack, Canista, Excela)</t>
  </si>
  <si>
    <t xml:space="preserve">170–3,194</t>
  </si>
  <si>
    <t xml:space="preserve">Value-conscious families</t>
  </si>
  <si>
    <t xml:space="preserve">Affordable everyday, wide distribution</t>
  </si>
  <si>
    <t xml:space="preserve">Signoraware</t>
  </si>
  <si>
    <t xml:space="preserve">~70–90</t>
  </si>
  <si>
    <t xml:space="preserve">123–1,630</t>
  </si>
  <si>
    <t xml:space="preserve">Office &amp; household</t>
  </si>
  <si>
    <t xml:space="preserve">Airtight &amp; microwave-safe positioning</t>
  </si>
  <si>
    <t xml:space="preserve">~30–40 (Jars &amp; Containers collection)</t>
  </si>
  <si>
    <t xml:space="preserve">✓ (Iron/Steel canisters)</t>
  </si>
  <si>
    <t xml:space="preserve">✓ (Polypropylene)</t>
  </si>
  <si>
    <t xml:space="preserve">279–1,399</t>
  </si>
  <si>
    <t xml:space="preserve">Home décor shoppers</t>
  </si>
  <si>
    <t xml:space="preserve">Premium lifestyle &amp; gifting; Buy-2-Get-2 promos; offline touch-and-feel</t>
  </si>
  <si>
    <t xml:space="preserve">Tupperware</t>
  </si>
  <si>
    <t xml:space="preserve">~40–60</t>
  </si>
  <si>
    <t xml:space="preserve">✗</t>
  </si>
  <si>
    <t xml:space="preserve">✓ (Premium plastic)</t>
  </si>
  <si>
    <t xml:space="preserve">221–2,200</t>
  </si>
  <si>
    <t xml:space="preserve">Brand loyalists, premium-plastic seekers</t>
  </si>
  <si>
    <t xml:space="preserve">Heritage direct-sales brand, durability guarantee</t>
  </si>
  <si>
    <t xml:space="preserve">Treo (by Milton)</t>
  </si>
  <si>
    <t xml:space="preserve">~20 (jars only)</t>
  </si>
  <si>
    <t xml:space="preserve">✓ (Borosilicate)</t>
  </si>
  <si>
    <t xml:space="preserve">215–825</t>
  </si>
  <si>
    <t xml:space="preserve">Health-conscious / aesthetic buyers</t>
  </si>
  <si>
    <t xml:space="preserve">Premium glass sub-brand, positioned above core Milton</t>
  </si>
  <si>
    <t xml:space="preserve">Container (Storage Jars + Fridge Containers) — Channels</t>
  </si>
  <si>
    <t xml:space="preserve">▶ SOURCE: Container — Cross-Platform</t>
  </si>
  <si>
    <t xml:space="preserve">Container — Cross-Platform Comparison (E-commerce vs Q-commerce)</t>
  </si>
  <si>
    <t xml:space="preserve">Researcher: Khushi | Live-page check performed: 19 Aug 2026 | Amazon, Flipkart, Myntra vs Blinkit, Zepto, Instamart</t>
  </si>
  <si>
    <t xml:space="preserve">A. E-Commerce (Amazon, Flipkart, Myntra)</t>
  </si>
  <si>
    <t xml:space="preserve">SKUs Sighted (Live)</t>
  </si>
  <si>
    <t xml:space="preserve">Price Range (sampled)</t>
  </si>
  <si>
    <t xml:space="preserve">Avg Rating</t>
  </si>
  <si>
    <t xml:space="preserve">Review Count</t>
  </si>
  <si>
    <t xml:space="preserve">Hero SKU (Live)</t>
  </si>
  <si>
    <t xml:space="preserve">Aesthetics / Presentation Note</t>
  </si>
  <si>
    <t xml:space="preserve">5 sampled</t>
  </si>
  <si>
    <t xml:space="preserve">₹810 – ₹2,198</t>
  </si>
  <si>
    <t xml:space="preserve">4.3★ (8.2–9.4/10 sampled)</t>
  </si>
  <si>
    <t xml:space="preserve">12 – 261</t>
  </si>
  <si>
    <t xml:space="preserve">Nestasia Airtight Glass Containers Set of 5 (185ml–1500ml) — ₹2,198, 9.4/10, 32 ratings</t>
  </si>
  <si>
    <t xml:space="preserve">~29% – 51%</t>
  </si>
  <si>
    <t xml:space="preserve">Nested/graduated set sizing (XS–XL) shown consistently; AI review-summary flags recurring 'not fully airtight / lid cracking' complaints across 3+ SKUs</t>
  </si>
  <si>
    <t xml:space="preserve">Flipkart</t>
  </si>
  <si>
    <t xml:space="preserve">4 sampled (brand not surfaced on generic 15,978-listing category page)</t>
  </si>
  <si>
    <t xml:space="preserve">995</t>
  </si>
  <si>
    <t xml:space="preserve">4.4★ (1 SKU confirmed)</t>
  </si>
  <si>
    <t xml:space="preserve">Not visible in snippets</t>
  </si>
  <si>
    <t xml:space="preserve">Nestasia Glass Grocery Container 1600ml, Pack of 2, Beige — ₹995 (50% off), 4.4★</t>
  </si>
  <si>
    <t xml:space="preserve">~50% (on hero SKU)</t>
  </si>
  <si>
    <t xml:space="preserve">Product titles favour utilitarian naming ('Grocery Container', 'Utility Container') over Nestasia's usual décor language — may be Flipkart's own listing template, not brand copy</t>
  </si>
  <si>
    <t xml:space="preserve">113 confirmed (live site filter, 'Nestasia Container' category)</t>
  </si>
  <si>
    <t xml:space="preserve">₹500 – ₹1,800+ (site filter)</t>
  </si>
  <si>
    <t xml:space="preserve">~4.0★ (sampled: 3.2–4.6)</t>
  </si>
  <si>
    <t xml:space="preserve">13 – 303</t>
  </si>
  <si>
    <t xml:space="preserve">Top-ranked listing — ₹1,299 (48% off), 4.6★, 271 ratings</t>
  </si>
  <si>
    <t xml:space="preserve">29% – 48%+ (filter goes to 70%+)</t>
  </si>
  <si>
    <t xml:space="preserve">Filed under Home Furnishing &gt; Container, not Kitchen — colour filter (Transparent, Beige, Green, Lavender...) suggests décor-led merchandising rather than functional/capacity-led</t>
  </si>
  <si>
    <t xml:space="preserve">B. Q-Commerce (Blinkit, Zepto, Instamart)</t>
  </si>
  <si>
    <t xml:space="preserve">3 confirmed (within 'Storage &amp; Containers' category)</t>
  </si>
  <si>
    <t xml:space="preserve">₹795 – ₹1,195</t>
  </si>
  <si>
    <t xml:space="preserve">Not shown on platform</t>
  </si>
  <si>
    <t xml:space="preserve">N/A (not displayed)</t>
  </si>
  <si>
    <t xml:space="preserve">Nestasia Glass Airtight Jar Set, 16pcs — ₹795 (5% off) — appears repeatedly as 'similar product' on rival brand pages</t>
  </si>
  <si>
    <t xml:space="preserve">5% – 17%</t>
  </si>
  <si>
    <t xml:space="preserve">Priced above nearly every neighbour on the shelf (Borosil ₹509, Femora ₹409–589, Nayasa ₹299–387) — reads as the premium option in a value-led aisle</t>
  </si>
  <si>
    <t xml:space="preserve">3 confirmed (dedicated Nestasia brand storefront exists)</t>
  </si>
  <si>
    <t xml:space="preserve">₹699 – ₹949</t>
  </si>
  <si>
    <t xml:space="preserve">Nestasia Glass Airtight Container Set of 16, 100ml — ₹699 (₹146 off)</t>
  </si>
  <si>
    <t xml:space="preserve">~17%</t>
  </si>
  <si>
    <t xml:space="preserve">Only Q-comm platform with a dedicated brand page (zepto.com/brand/Nestasia) — suggests a direct listing/brand partnership, deeper than Blinkit/Instamart's mixed-category placement</t>
  </si>
  <si>
    <t xml:space="preserve">Instamart</t>
  </si>
  <si>
    <t xml:space="preserve">2-3 confirmed (3 of 5 product pages errored live)</t>
  </si>
  <si>
    <t xml:space="preserve">₹2,029 (only fully-priced SKU)</t>
  </si>
  <si>
    <t xml:space="preserve">Nestasia Glass Vintage Patterned Jar Set of 4, 700ml — ₹2,029 (23% off)</t>
  </si>
  <si>
    <t xml:space="preserve">23% (on the one loaded SKU)</t>
  </si>
  <si>
    <t xml:space="preserve">C. Average Price, AOV Estimate &amp; Likely Best-Seller</t>
  </si>
  <si>
    <t xml:space="preserve">E-commerce (Amazon+Flipkart+Myntra)</t>
  </si>
  <si>
    <t xml:space="preserve">Q-commerce (Blinkit+Zepto+Instamart)</t>
  </si>
  <si>
    <t xml:space="preserve">Avg. price — sampled live SKUs (n=11 vs n=5)</t>
  </si>
  <si>
    <t xml:space="preserve">≈ ₹1,444</t>
  </si>
  <si>
    <t xml:space="preserve">≈ ₹1,115</t>
  </si>
  <si>
    <t xml:space="preserve">Modelled AOV (assumes 1 set per order)</t>
  </si>
  <si>
    <t xml:space="preserve">≈ ₹1,400 – ₹1,500</t>
  </si>
  <si>
    <t xml:space="preserve">≈ ₹900 – ₹1,100</t>
  </si>
  <si>
    <t xml:space="preserve">Best proxy for highest-selling SKU (highest rating × review-count combo, only live signal available)</t>
  </si>
  <si>
    <t xml:space="preserve">Myntra hero SKU (₹1,299, 271 ratings, 4.6★) and Amazon Fridge Storage Set of 6 (₹1,680, 261 ratings) — both in the ₹1,300–1,700 band</t>
  </si>
  <si>
    <t xml:space="preserve">n/a — no ratings/review counts exposed on any Q-comm app</t>
  </si>
  <si>
    <t xml:space="preserve">D. Key Insights (Platform-by-Platform + Overall)</t>
  </si>
  <si>
    <t xml:space="preserve">Insight</t>
  </si>
  <si>
    <t xml:space="preserve">Amazon</t>
  </si>
  <si>
    <t xml:space="preserve">Reviews reveal a recurring quality complaint — 'not fully airtight / lid cracking' — across 3+ different container SKUs; this is a real product/QC signal, not just a marketing gap. Separately, Amazon's own seller filter confirms Nestasia products in this category are listed by 7 different sellers (RetailEZ Pvt Ltd, Nestasia Home Decor, Allo Innoware, STAR WORK, BalanceCart, The Blissful Artisan, Sunshott Media Pvt Ltd). This confirms multiple sellers carry Nestasia listings in the category; it does NOT by itself confirm any single SKU is cross-listed under two sellers, which is what would literally split reviews on one product page — that part remains an inference, not a verified fact.</t>
  </si>
  <si>
    <t xml:space="preserve">Nestasia is nearly invisible on generic category browsing (didn't appear in the first 40 of 15,978 'Kitchen Containers' results) — discovery here likely depends on direct brand search, not category browsing, unlike Amazon/Myntra.</t>
  </si>
  <si>
    <t xml:space="preserve">By far the deepest and best-performing live catalog (113 SKUs; top SKU 4.6★/271 ratings) — filing containers under 'Home Furnishing' rather than 'Kitchen' may be capturing the gifting/décor buyer more effectively than the two kitchen-first marketplaces.</t>
  </si>
  <si>
    <t xml:space="preserve">Nestasia is priced above nearly every neighbouring brand on the Storage &amp; Containers shelf — on quick commerce it reads as the premium pick, more starkly than its 'accessible premium' positioning on its own site.</t>
  </si>
  <si>
    <t xml:space="preserve">The only Q-comm app with a dedicated Nestasia brand storefront — suggests a stronger, more direct listing relationship than Blinkit or Instamart.</t>
  </si>
  <si>
    <t xml:space="preserve">No valuable insight found.</t>
  </si>
  <si>
    <t xml:space="preserve">Overall E-commerce</t>
  </si>
  <si>
    <t xml:space="preserve">Across Amazon, Flipkart and Myntra, the best-performing SKUs (by rating × review volume) cluster in the ₹1,300–₹2,200 multi-piece set range — e-commerce's 'hero' price band sits noticeably above the Q-commerce price band.</t>
  </si>
  <si>
    <t xml:space="preserve">Overall Q-commerce</t>
  </si>
  <si>
    <t xml:space="preserve">Nestasia IS present on all three Q-comm apps — but assortment is shallow (2–3 SKUs/app, mostly smaller ≤16pc / ≤700ml sets), positioned as a premium top-up buy rather than a full range, and none of the three apps expose star ratings/review counts — so on-platform social proof is unavailable to the Q-comm shopper, unlike the e-commerce buyer.</t>
  </si>
  <si>
    <t xml:space="preserve">E. Assumptions &amp; Data Limitations (read before using in the deck)</t>
  </si>
  <si>
    <t xml:space="preserve">1. Amazon.in blocks automated page fetches (robots.txt). All Amazon figures come from live search-engine snippets of Amazon listings, not a full scrape — true Amazon SKU count could not be confirmed, only that a filtered brand storefront exists.</t>
  </si>
  <si>
    <t xml:space="preserve">2. Flipkart and Myntra brand-filtered URLs sometimes return empty results or need JS rendering to load. Myntra's SKU count (113) is the one live, directly-confirmed total in this sheet; Flipkart's true Nestasia SKU count could not be confirmed live.</t>
  </si>
  <si>
    <t xml:space="preserve">3. Blinkit and Instamart product pages returned raw JS/binary content on direct fetch. All Q-commerce data comes from live search-result snippets of their pages, not full rendered page loads.</t>
  </si>
  <si>
    <t xml:space="preserve">4. Blinkit, Zepto and Instamart do not display star ratings or review counts on the product cards/pages accessed — 'Avg Rating' and 'Review Count' are marked N/A for Q-comm rather than assumed or estimated.</t>
  </si>
  <si>
    <t xml:space="preserve">5. 'AOV' is a modelled estimate off sampled live SKU prices (assumes ~1 set per order), not a merchant-reported figure — Nestasia does not publish order-level AOV publicly.</t>
  </si>
  <si>
    <t xml:space="preserve">6. 'Highest-selling product' could not be directly verified — no platform exposes a live sales-rank/bestseller badge for Nestasia containers at the time of this check. The figure given is a proxy based on the highest rating × review-count combination visible live.</t>
  </si>
  <si>
    <t xml:space="preserve">7. Sample sizes are small (2–5 SKUs per platform) due to fetch restrictions — this is a live snapshot, not an exhaustive catalog pull. Treat price ranges/ratings as indicative, not definitive.</t>
  </si>
  <si>
    <t xml:space="preserve">8. 'Aesthetics' notes are based on product titles/descriptions surfaced in search snippets, not direct visual/image review, since most pages could not be fully rendered.</t>
  </si>
  <si>
    <t xml:space="preserve">9. All data live as of 19 Aug 2026. Marketplace and Q-commerce listings, prices and stock change frequently — recommend a re-check closer to the deck deadline.</t>
  </si>
  <si>
    <t xml:space="preserve">Container (Storage Jars + Fridge Containers) — Insights</t>
  </si>
  <si>
    <t xml:space="preserve">F. Founder Questions (NEW — bringing this category to Bakeware's standard)</t>
  </si>
  <si>
    <t xml:space="preserve">The Amazon seller filter shows 7 different sellers listing Nestasia container products. Is this intentional multi-channel distribution, or unauthorized/grey-market reselling?</t>
  </si>
  <si>
    <t xml:space="preserve">Determines whether this is a controlled strategy or a channel-control problem worth addressing</t>
  </si>
  <si>
    <t xml:space="preserve">Why is Myntra's container assortment filed under 'Home Furnishing' rather than 'Kitchen'? Was this deliberate, or a marketplace default?</t>
  </si>
  <si>
    <t xml:space="preserve">Same question raised for Kitchen Racks+Trivets — if deliberate, it's a replicable insight for other categories</t>
  </si>
  <si>
    <t xml:space="preserve">The recurring 'not fully airtight / lid cracking' complaint appears across 3+ SKUs on Amazon — what are the actual return/replacement rates for this category?</t>
  </si>
  <si>
    <t xml:space="preserve">Tests whether this is a real QC issue worth fixing at the manufacturing level, not just a review-response problem</t>
  </si>
  <si>
    <t xml:space="preserve">Blinkit prices Nestasia containers above nearly every neighboring brand (Borosil, Femora, Nayasa) — is qCommerce meant to be a premium showcase, or should pricing be more competitive there?</t>
  </si>
  <si>
    <t xml:space="preserve">Same strategic question raised in Kitchen Racks+Trivets and Cookware qCommerce sections — worth resolving once for the whole Kitchen vertical, not category by category</t>
  </si>
  <si>
    <t xml:space="preserve">Can we get 12-18 months of SKU-level sales and margin data for Container, the same way requested for Bakeware?</t>
  </si>
  <si>
    <t xml:space="preserve">The only way to identify genuine hero SKUs beyond the rating×review-count proxy currently used</t>
  </si>
  <si>
    <t xml:space="preserve">Lunch Boxes + Lunch Bags — Analysis</t>
  </si>
  <si>
    <t xml:space="preserve">▶ SOURCE: Lunch Boxes+Bags — Analysis</t>
  </si>
  <si>
    <t xml:space="preserve">Lunch Boxes + Lunch Bags — Category Analysis (RIGOR PASS)</t>
  </si>
  <si>
    <t xml:space="preserve">Original: Nimish | Live re-verification + rigor upgrade: Aug 19 2026</t>
  </si>
  <si>
    <t xml:space="preserve">⚠️ Major Corrections vs. Original Submission</t>
  </si>
  <si>
    <t xml:space="preserve">Live re-verification found significant discrepancies with the original submission. Lunch Bags: originally reported as 16 SKUs — LIVE COUNT IS 59 SKUs (3.7x higher). Office Lunch Box: originally reported as 10 SKUs — the main /collections/lunch-boxes page shows 18 SKUs (Office Lunch Boxes is actually a narrower 11-SKU sub-collection, not the full Lunch Boxes category). CRITICAL NEW FINDING: both the Lunch Boxes (18/18) and Lunch Bags (59/59, sampled) collections show EVERY SKU tagged 'In stock' by the site filter, but EVERY SKU sampled displays 'Sold Out' on the actual Add to Cart button — this is the 4th and 5th independent confirmation of the site-wide bug also found in Bakeware, Kitchen Racks, and Trivets (see Data Quality Audit tab).</t>
  </si>
  <si>
    <t xml:space="preserve">Part 1: Company Analysis — CORRECTED, Live-Verified Aug 19 2026</t>
  </si>
  <si>
    <t xml:space="preserve">Lunch Boxes (main collection)
(nestasia.in/collections/lunch-boxes)</t>
  </si>
  <si>
    <t xml:space="preserve">₹845 – ₹1,390 (sampled from live listing)</t>
  </si>
  <si>
    <t xml:space="preserve">Not visible on collection page — review counts require individual PDP checks, not attempted at scale this pass</t>
  </si>
  <si>
    <t xml:space="preserve">Sealed Three Compartment Glass Container Lunchbox 1000ml — https://nestasia.in/products/sealed-three-compartment-glass-container-lunchbox-1000ml (₹860, 28% off) — carries 'top badge' internal flag, matching the badge system found in Cookware</t>
  </si>
  <si>
    <t xml:space="preserve">14%–43% off across sampled SKUs</t>
  </si>
  <si>
    <t xml:space="preserve">Cross-sells heavily with Storage Jars/Containers ('People also saw' panel) — same cross-category pattern found in Cookware and Bakeware, not lunch-specific bundling</t>
  </si>
  <si>
    <t xml:space="preserve">ALL 18 SKUs show 'Sold Out' despite 100% 'In stock' filter tag. This is the SAME site-wide bug confirmed in Bakeware/Kitchen Racks/Trivets.</t>
  </si>
  <si>
    <t xml:space="preserve">Lunch Bags
(nestasia.in/collections/lunch-bags)</t>
  </si>
  <si>
    <t xml:space="preserve">₹625 – ₹1,490 (sampled from live listing)</t>
  </si>
  <si>
    <t xml:space="preserve">Not visible on collection page</t>
  </si>
  <si>
    <t xml:space="preserve">Tangerine Checkered Insulated Lunch Bag — https://nestasia.in/products/tangerine-checkered-insulated-lunch-bag (₹760, 30% off) — matches original submission's hero SKU pick, still valid</t>
  </si>
  <si>
    <t xml:space="preserve">7%–31% off across sampled SKUs</t>
  </si>
  <si>
    <t xml:space="preserve">No cross-selling with Lunch Boxes observed in this pass (matches original finding) — 'People also saw' instead surfaces Storage Jars and unrelated Decor items</t>
  </si>
  <si>
    <t xml:space="preserve">ALL sampled SKUs show 'Sold Out' despite 100% 'In stock' filter tag — 5th confirmed instance of the site-wide bug. Material breakdown: Polyester (40), PU Leather (24), Metal (31 — likely bottle-carrier bags miscategorized as 'Lunch Bag' type), Cotton (11), Jute (6), Velvet (9).</t>
  </si>
  <si>
    <t xml:space="preserve">Hidden sub-collections (fragmentation pattern)</t>
  </si>
  <si>
    <t xml:space="preserve">See note</t>
  </si>
  <si>
    <t xml:space="preserve">Varies</t>
  </si>
  <si>
    <t xml:space="preserve">N/A</t>
  </si>
  <si>
    <t xml:space="preserve">The 'Lunch Boxes' category is heavily fragmented across overlapping sub-collections, the SAME pattern found in Cookware (Saucepans/Casseroles) and Bakeware: Bento Lunch Boxes (36), Glass Lunch Box (37), Oven Safe Lunch Box (29), Office Lunch Boxes (11), Steel Tiffin Lunch Box (1 only!), Kids Lunch Boxes (0 — confirmed EMPTY), Nestro Lunch Boxes sub-brand line (91), Lunch Box+Bag combined (39). These overlap substantially with each other and with the main 18-SKU collection — true unique SKU count across all Lunch Box variants is likely 80-120+, not the 18 the main collection page shows, but cannot be precisely determined without product-ID-level deduplication.</t>
  </si>
  <si>
    <t xml:space="preserve">Confirmed Empty / Near-Empty Sub-Collections</t>
  </si>
  <si>
    <t xml:space="preserve">Significance</t>
  </si>
  <si>
    <t xml:space="preserve">Kids Lunch Boxes</t>
  </si>
  <si>
    <t xml:space="preserve">0 — CONFIRMED EMPTY</t>
  </si>
  <si>
    <t xml:space="preserve">Site actively markets kids' lunch boxes in FAQ/buying-guide copy elsewhere on the site, but the dedicated collection has zero live products — same 'content describes products that don't exist' pattern found in Kitchen Racks</t>
  </si>
  <si>
    <t xml:space="preserve">Steel Tiffin Lunch Box</t>
  </si>
  <si>
    <t xml:space="preserve">Nestasia's own product copy calls stainless steel 'the perfect blend of convenience and calibur' and dedicates significant buying-guide content to steel vs. glass — yet only 1 SKU exists in this material</t>
  </si>
  <si>
    <t xml:space="preserve">Lunch Box with Bag Hamper</t>
  </si>
  <si>
    <t xml:space="preserve">The bundled hamper format — exactly the kind of cross-category bundling the original CJM notes as ABSENT between boxes and bags — has only 1 SKU, suggesting it was tried but not scaled</t>
  </si>
  <si>
    <t xml:space="preserve">Part 2: Market Understanding (Original, Retained)</t>
  </si>
  <si>
    <t xml:space="preserve">Nestasia identifies itself as a design-led, curated destination for home decor, filling a 'missing middle' gap in India between cheap functional goods and high-end luxury labels.</t>
  </si>
  <si>
    <t xml:space="preserve">Looking for better designs, like in lunch boxes — stylish lunch bags sold separately from lunch boxes.</t>
  </si>
  <si>
    <t xml:space="preserve">Mostly Meta ads-driven discovery; mostly no touch-and-feel; friction point — reviews highlight dissatisfaction with wallet-only refunds and poor app-based order tracking.</t>
  </si>
  <si>
    <t xml:space="preserve">Comparison with Traditional</t>
  </si>
  <si>
    <t xml:space="preserve">Nestasia is mostly perceived as a gifting brand, since it positions itself with gift packaging included.</t>
  </si>
  <si>
    <t xml:space="preserve">Lunch Boxes + Lunch Bags — Competitors</t>
  </si>
  <si>
    <t xml:space="preserve">▶ SOURCE: Lunch Boxes+Bags — Competitors</t>
  </si>
  <si>
    <t xml:space="preserve">Lunch Boxes + Lunch Bags — Competitor Brand Comparison</t>
  </si>
  <si>
    <t xml:space="preserve">Researcher: Nimish</t>
  </si>
  <si>
    <t xml:space="preserve">Approx. Lunch/Storage SKU Count</t>
  </si>
  <si>
    <t xml:space="preserve">Lunch Bags</t>
  </si>
  <si>
    <t xml:space="preserve">Glass Lunch Boxes</t>
  </si>
  <si>
    <t xml:space="preserve">Plastic Lunch Boxes</t>
  </si>
  <si>
    <t xml:space="preserve">Steel Lunch Boxes</t>
  </si>
  <si>
    <t xml:space="preserve">Price Position</t>
  </si>
  <si>
    <t xml:space="preserve">116 (90 Glass Storage + 10 Lunch Boxes + 16 Lunch Bags)</t>
  </si>
  <si>
    <t xml:space="preserve">₹695–2,995</t>
  </si>
  <si>
    <t xml:space="preserve">Premium urban professionals</t>
  </si>
  <si>
    <t xml:space="preserve">Milton</t>
  </si>
  <si>
    <t xml:space="preserve">149 lunch box SKUs (112 currently in stock)</t>
  </si>
  <si>
    <t xml:space="preserve">✓ (Treo)</t>
  </si>
  <si>
    <t xml:space="preserve">₹173–1,600</t>
  </si>
  <si>
    <t xml:space="preserve">Mass market</t>
  </si>
  <si>
    <t xml:space="preserve">~90–120 (across lunch box families)</t>
  </si>
  <si>
    <t xml:space="preserve">₹150–1,200</t>
  </si>
  <si>
    <t xml:space="preserve">~70–90 lunch box SKUs</t>
  </si>
  <si>
    <t xml:space="preserve">Some bundled</t>
  </si>
  <si>
    <t xml:space="preserve">✓ (strong)</t>
  </si>
  <si>
    <t xml:space="preserve">₹123–1,100</t>
  </si>
  <si>
    <t xml:space="preserve">~20–30</t>
  </si>
  <si>
    <t xml:space="preserve">Few</t>
  </si>
  <si>
    <t xml:space="preserve">₹499–1,499</t>
  </si>
  <si>
    <t xml:space="preserve">Westside Home</t>
  </si>
  <si>
    <t xml:space="preserve">~10–20</t>
  </si>
  <si>
    <t xml:space="preserve">Bento style</t>
  </si>
  <si>
    <t xml:space="preserve">₹699–1,299</t>
  </si>
  <si>
    <t xml:space="preserve">Lifestyle shoppers</t>
  </si>
  <si>
    <t xml:space="preserve">Treo (Milton)</t>
  </si>
  <si>
    <t xml:space="preserve">~25–40</t>
  </si>
  <si>
    <t xml:space="preserve">₹549–1,300</t>
  </si>
  <si>
    <t xml:space="preserve">Health-conscious buyers</t>
  </si>
  <si>
    <t xml:space="preserve">Observations</t>
  </si>
  <si>
    <t xml:space="preserve">Milton's stock discipline</t>
  </si>
  <si>
    <t xml:space="preserve">149 lunch box SKUs listed but only 112 currently in stock (75%) — worth checking whether this reflects normal seasonal turnover or a broader industry pattern also seen in Nestasia's own stock-gap issues (see Bakeware tabs, where 390 of 392 records are out of stock).</t>
  </si>
  <si>
    <t xml:space="preserve">Nestasia's material gap</t>
  </si>
  <si>
    <t xml:space="preserve">Zero presence in Plastic or Steel lunch boxes — every competitor except Westside and Treo offers at least one of these. This is a deliberate positioning choice (glass-only = premium/health-led) but also means Nestasia cannot compete for the largest-volume, most price-sensitive segment of the lunch box market at all.</t>
  </si>
  <si>
    <t xml:space="preserve">Westside Home as an unexpected peer</t>
  </si>
  <si>
    <t xml:space="preserve">A fashion/apparel retailer with a bento-style lunch box line — worth flagging as a lifestyle-adjacent competitor rather than a traditional kitchenware brand, similar to how Nykaa Fashion surfaced as a channel/competitor overlap in the Cookware research.</t>
  </si>
  <si>
    <t xml:space="preserve">Lunch Boxes + Lunch Bags — Channels</t>
  </si>
  <si>
    <t xml:space="preserve">qCommerce Check (NEW — was a confirmed gap)</t>
  </si>
  <si>
    <t xml:space="preserve">CONFIRMED: Nestasia lunch bags and lunch boxes ARE present on Blinkit — Thermal Insulated Lunch Bag, Insulated Lunch Bag, Luxe Velvet Lunch Bag, and Borosilicate Glass Container/Lunch Box sets all found live. Also confirmed: dedicated Amazon storefront 'Nestasia: Lunch Bags &amp; Boxes'. SAME PATTERN as Kitchen Racks+Trivets: on Blinkit, Nestasia items appear as the premium-priced option alongside competitors — Nestasia's Glass Airtight Jar Set (₹795) sits next to Borosil (₹509), Cello (₹299), Nayasa (₹339), and Femora (₹329) at roughly 1.5-2.6x the price of the cheapest comparable competitor item. This is the THIRD category in this project (after Cookware qCommerce and Kitchen Racks+Trivets) where Nestasia reads as the premium outlier on quick-commerce shelves.</t>
  </si>
  <si>
    <t xml:space="preserve">Lunch Boxes + Lunch Bags — Insights</t>
  </si>
  <si>
    <t xml:space="preserve">1. SKU counts reflect live site-filter totals at time of check (Aug 19, 2026) — these fluctuate; the original submission's much lower counts may reflect either a genuinely earlier/different site state or a narrower sub-collection being used as a proxy for the whole category.</t>
  </si>
  <si>
    <t xml:space="preserve">2. Review counts were not individually verified at scale for this pass — collection pages do not surface review counts directly; would require per-SKU PDP checks (as was done selectively for Bakeware) to quantify.</t>
  </si>
  <si>
    <t xml:space="preserve">3. True unique SKU count across all Lunch Box variants (Bento/Glass/Oven-Safe/Office/Steel/Kids/Nestro/combined) cannot be precisely determined without product-ID-level deduplication — sub-collections overlap substantially, the same structural issue found in Cookware (Saucepans/Casseroles) and Bakeware.</t>
  </si>
  <si>
    <t xml:space="preserve">4. qCommerce price comparison is based on a small sample of visible 'people also bought' listings on Blinkit, not a systematic sweep of all three qCommerce platforms (Zepto/Instamart not directly checked for Lunch Boxes+Bags specifically in this pass).</t>
  </si>
  <si>
    <t xml:space="preserve">5. The 'Sold Out despite in-stock tag' finding is based on the visible first-page product cards for each collection; not every one of the 18 Lunch Box or 59 Lunch Bag SKUs was individually confirmed, though the pattern was 100% consistent across every SKU sampled.</t>
  </si>
  <si>
    <t xml:space="preserve">Kitchen Racks + Trivets — Analysis</t>
  </si>
  <si>
    <t xml:space="preserve">▶ SOURCE: Kitchen Racks+Trivets</t>
  </si>
  <si>
    <t xml:space="preserve">Kitchen Racks + Trivets — Category Analysis</t>
  </si>
  <si>
    <t xml:space="preserve">Previously unassigned category | Researched to Bakeware/Container standard | Live-verified Aug 19 2026</t>
  </si>
  <si>
    <t xml:space="preserve">⚠️ Critical Finding — Third Confirmed Instance of Site-Wide Bug</t>
  </si>
  <si>
    <t xml:space="preserve">Kitchen Racks: 1 total SKU, tagged 'In stock (1)' — but the live listing shows 'Sold Out' on that single product. Trivets: 8 total SKUs, ALL tagged 'In stock (8)' — but ALL 8 show 'Sold Out' on the live listing. Combined with the identical pattern found in Bakeware (2 of 2), this is now a 3-for-3 confirmed site-wide pattern, not a category-specific issue. See Data Quality Audit tab for the full cross-category writeup.</t>
  </si>
  <si>
    <t xml:space="preserve">Kitchen Racks
(nestasia.in/collections/kitchen-racks)</t>
  </si>
  <si>
    <t xml:space="preserve">₹1,990 (single SKU)</t>
  </si>
  <si>
    <t xml:space="preserve">Not visible on this listing (no review count shown on collection page)</t>
  </si>
  <si>
    <t xml:space="preserve">Two Tier Bamboo Countertop Shelf Stand — https://nestasia.in/products/two-tier-bamboo-countertop-shelf-stand — the ONLY product in the entire collection</t>
  </si>
  <si>
    <t xml:space="preserve">None visible — no MRP/discount shown, unusual vs. every other Kitchen subcategory which runs 20-60% off</t>
  </si>
  <si>
    <t xml:space="preserve">None — single-SKU collection cannot bundle with itself. Site copy describes a much broader range ('Double Decker Organiser', 'Metal Soap &amp; Dishcloth Rack', 'kitchen corner shelf') that does not currently exist as purchasable inventory.</t>
  </si>
  <si>
    <t xml:space="preserve">This is functionally an abandoned or heavily-deprioritized category — 1 live SKU vs. extensive on-page educational content (FAQs, care tips, buying guide) describing products that aren't actually sold. Confirmed 'Sold Out' on the one SKU that exists.</t>
  </si>
  <si>
    <t xml:space="preserve">Trivets
(nestasia.in/collections/trivets)</t>
  </si>
  <si>
    <t xml:space="preserve">₹595 – ₹1,090</t>
  </si>
  <si>
    <t xml:space="preserve">Not visible on collection page (no review counts shown)</t>
  </si>
  <si>
    <t xml:space="preserve">Lotus Royale Round Hand Painted Trivet — https://nestasia.in/products/lotus-royale-round-hand-painted-trivet (₹1,090, 29% off) — highest-priced SKU in the collection</t>
  </si>
  <si>
    <t xml:space="preserve">16%–41% off where shown; 3 of 8 SKUs show no MRP/discount at all (Set of 3 Bamboo Wood Square Trivet, Set of 3 Round Bamboo Wood Trivet, Round Sabai Trivet Turquoise)</t>
  </si>
  <si>
    <t xml:space="preserve">No cross-category bundling observed on this specific listing pull; 'People also saw' surfaces Cookware and Storage Jars (same cross-sell pattern as Bakeware/Cookware)</t>
  </si>
  <si>
    <t xml:space="preserve">ALL 8 SKUs show 'Sold Out' despite the collection filter tagging all 8 as 'In stock.' Materials: Bamboo (3), Grass/Sabai (3), Metal (1), Silicone (1). Positioned as dual-purpose trivet+serving-platter, mirroring the multi-job framing found in Bakeware (bake→serve→host).</t>
  </si>
  <si>
    <t xml:space="preserve">Same aesthetic-first pattern as every other Kitchen subcategory: Sabai-grass handwoven trivets, hand-painted ceramic, bamboo wood — positioned as much for table presentation and gifting (Housewarming/Wedding/Anniversary tags present on 5 of 8 trivet SKUs) as for pure heat-resistance function. Kitchen Racks' own FAQ content leans heavily into 'can also be used in the bathroom' and 'makes a great housewarming gift' framing rather than pure kitchen-organization utility.</t>
  </si>
  <si>
    <t xml:space="preserve">Cannot meaningfully profile a target consumer for Kitchen Racks given only 1 SKU exists — any conclusion would be speculation from a single data point. For Trivets, the consumer profile likely mirrors the broader Nestasia gifting/hosting buyer already established elsewhere in this project (see Bakeware and Container CJM sections) — trivets marketed as much as serving platters as heat protectors.</t>
  </si>
  <si>
    <t xml:space="preserve">Not independently assessed this pass — both collections are small enough (1 and 8 SKUs) that a dedicated CJM would be largely speculative without traffic/conversion data. Recommend treating this as a research gap rather than filling it with assumption, consistent with the discipline applied elsewhere in this project.</t>
  </si>
  <si>
    <t xml:space="preserve">Unlike Bakeware or Container, this category shows LESS evidence of deliberate market creation and more evidence of simple neglect — the extensive on-page buying-guide content (measuring your countertop, choosing between wood vs metal, corner-shelf tips) describes a functional decision-making process for a product range that barely exists. This reads as a stale/orphaned content page rather than an active 'we're creating a new market' strategy.</t>
  </si>
  <si>
    <t xml:space="preserve">Kitchen Racks + Trivets — Competitors</t>
  </si>
  <si>
    <t xml:space="preserve">▶ SOURCE: Kitchen Racks+Trivets Comp</t>
  </si>
  <si>
    <t xml:space="preserve">Kitchen Racks + Trivets — Competitor Analysis</t>
  </si>
  <si>
    <t xml:space="preserve">Home Centre, IKEA, and the unbranded Amazon/Flipkart/IndiaMART market</t>
  </si>
  <si>
    <t xml:space="preserve">Home Centre (dedicated Kitchen Organisers AND Trivets &amp; Coasters categories), IKEA (dedicated 'Kitchen Racks &amp; Wall Storage' category)</t>
  </si>
  <si>
    <t xml:space="preserve">Unbranded/local-manufacturer racks and trivets on Amazon, Flipkart, and IndiaMART (FireBees, LUXENWOOD, Craftland, Plantex, and dozens of similar small brands) — this is a highly fragmented, commoditized, low-brand-loyalty category at the mass-market level</t>
  </si>
  <si>
    <t xml:space="preserve">Competitor Brand Comparison</t>
  </si>
  <si>
    <t xml:space="preserve">Category Depth</t>
  </si>
  <si>
    <t xml:space="preserve">Review Social Proof</t>
  </si>
  <si>
    <t xml:space="preserve">9 combined SKUs (1 Rack + 8 Trivets) — BOTH collections show 100% 'Sold Out' despite in-stock tags</t>
  </si>
  <si>
    <t xml:space="preserve">₹595–1,990</t>
  </si>
  <si>
    <t xml:space="preserve">Not visible on collection pages</t>
  </si>
  <si>
    <t xml:space="preserve">Premium urban / gifters</t>
  </si>
  <si>
    <t xml:space="preserve">Design-led, handcrafted materials (Sabai grass, hand-painted ceramic, bamboo)</t>
  </si>
  <si>
    <t xml:space="preserve">Two separate live categories: Kitchen Organisers (dish racks, spice racks, fruit baskets, fridge organisers) + Trivets &amp; Coasters</t>
  </si>
  <si>
    <t xml:space="preserve">Not fully sampled — comparable homecentre.in price tiers to other categories (~₹200-1,400 typical)</t>
  </si>
  <si>
    <t xml:space="preserve">Home décor shoppers, mass-premium</t>
  </si>
  <si>
    <t xml:space="preserve">Full-basket organizer range + separate trivets/coasters line — genuine category depth Nestasia currently lacks</t>
  </si>
  <si>
    <t xml:space="preserve">Dedicated 'Kitchen Racks &amp; Wall Storage' category — confirmed live with multiple SKUs (TISKEN, HULTARP product lines)</t>
  </si>
  <si>
    <t xml:space="preserve">₹199–500 (confirmed live)</t>
  </si>
  <si>
    <t xml:space="preserve">STRONG — 411, 510, 639, 432, 944, 545 ratings confirmed across sampled SKUs, all 4.3-4.8★</t>
  </si>
  <si>
    <t xml:space="preserve">Value-conscious, functional-first buyers</t>
  </si>
  <si>
    <t xml:space="preserve">Drill-free, minimalist wall-mount systems — functional-first, not gifting-led</t>
  </si>
  <si>
    <t xml:space="preserve">Unbranded (Amazon/Flipkart/IndiaMART)</t>
  </si>
  <si>
    <t xml:space="preserve">Extremely deep — dozens of small brands (FireBees, LUXENWOOD, Craftland, Plantex, and many more)</t>
  </si>
  <si>
    <t xml:space="preserve">₹20–500 range confirmed on IndiaMART bulk listings; ₹300-800 typical on Amazon/Flipkart retail</t>
  </si>
  <si>
    <t xml:space="preserve">Fragmented — individual small brands carry their own review counts, not aggregated</t>
  </si>
  <si>
    <t xml:space="preserve">Price-sensitive mass market</t>
  </si>
  <si>
    <t xml:space="preserve">Pure functional commodity — no aesthetic/gifting positioning at all</t>
  </si>
  <si>
    <t xml:space="preserve">Key Observation</t>
  </si>
  <si>
    <t xml:space="preserve">IKEA's review depth (400-900+ ratings per SKU) versus Nestasia's near-total absence of visible reviews on these two collections is the starkest social-proof gap found anywhere in this entire project — larger even than the gaps identified in Cookware or Bakeware. Combined with the confirmed 'Sold Out despite in-stock tag' issue, Kitchen Racks and Trivets currently represent Nestasia's weakest-performing Kitchen subcategory by every measurable signal: smallest SKU count (9 combined), zero visible reviews, and a site-wide technical bug preventing purchase of the SKUs that do exist. This is a stronger candidate for founder attention than its 'unassigned, easy to overlook' status in the original team scoping would suggest.</t>
  </si>
  <si>
    <t xml:space="preserve">Kitchen Racks + Trivets — Channels</t>
  </si>
  <si>
    <t xml:space="preserve">No content yet for this section — Kitchen Racks + Trivets is a small, newly-researched category. This tab is a placeholder flagging the gap (see Data Quality Audit tab) rather than an oversight.</t>
  </si>
  <si>
    <t xml:space="preserve">Kitchen Racks + Trivets — Insights</t>
  </si>
  <si>
    <t xml:space="preserve">Sources &amp; References</t>
  </si>
  <si>
    <t xml:space="preserve">All URLs and platforms consulted across all 5 Kitchen subcategories</t>
  </si>
  <si>
    <t xml:space="preserve">Research Area</t>
  </si>
  <si>
    <t xml:space="preserve">Source URL / Platform</t>
  </si>
  <si>
    <t xml:space="preserve">Type</t>
  </si>
  <si>
    <t xml:space="preserve">Cookware &amp; Utensils — own site</t>
  </si>
  <si>
    <t xml:space="preserve">nestasia.in/collections/cookware, /kitchen-tools, /saucepans, /casseroles, /cooking-pots</t>
  </si>
  <si>
    <t xml:space="preserve">Direct storefront</t>
  </si>
  <si>
    <t xml:space="preserve">Bakeware — own site</t>
  </si>
  <si>
    <t xml:space="preserve">nestasia.in/collections/bakeware, /baking-dishes, /baking-plates, /baking-bowls</t>
  </si>
  <si>
    <t xml:space="preserve">Container — own site</t>
  </si>
  <si>
    <t xml:space="preserve">nestasia.in/collections/jars-canisters, /fridge-storage-containers</t>
  </si>
  <si>
    <t xml:space="preserve">Lunch Boxes+Bags — own site</t>
  </si>
  <si>
    <t xml:space="preserve">nestasia.in/collections/lunch-boxes, /lunch-bags, /bento-lunch-boxes, /glass-lunch-box, /oven-safe-lunch-box, /office-lunch-boxes, /steel-tiffin-lunch-box, /kids-lunch-boxes</t>
  </si>
  <si>
    <t xml:space="preserve">Kitchen Racks+Trivets — own site</t>
  </si>
  <si>
    <t xml:space="preserve">nestasia.in/collections/kitchen-racks, /trivets</t>
  </si>
  <si>
    <t xml:space="preserve">Competitors — Home Centre</t>
  </si>
  <si>
    <t xml:space="preserve">homecentre.in — Kitchen, Cooking, Kitchenware, Organisers, Trivets &amp; Coasters categories</t>
  </si>
  <si>
    <t xml:space="preserve">Competitors — TTK Prestige</t>
  </si>
  <si>
    <t xml:space="preserve">shop.ttkprestige.com/cookware.html</t>
  </si>
  <si>
    <t xml:space="preserve">Competitors — Milton</t>
  </si>
  <si>
    <t xml:space="preserve">milton.in/collections/cookware, /casseroles</t>
  </si>
  <si>
    <t xml:space="preserve">Competitors — Wonderchef</t>
  </si>
  <si>
    <t xml:space="preserve">wonderchef.com/collections/cookware-collection</t>
  </si>
  <si>
    <t xml:space="preserve">Competitors — Borosil</t>
  </si>
  <si>
    <t xml:space="preserve">myborosil.com/collections/cookware</t>
  </si>
  <si>
    <t xml:space="preserve">Competitors — Vaaree</t>
  </si>
  <si>
    <t xml:space="preserve">vaaree.com/collections/cookware</t>
  </si>
  <si>
    <t xml:space="preserve">Direct storefront (marketplace)</t>
  </si>
  <si>
    <t xml:space="preserve">Competitors — Ellementry</t>
  </si>
  <si>
    <t xml:space="preserve">ellementry.com/collections/cookware</t>
  </si>
  <si>
    <t xml:space="preserve">Competitors — Stahl Kitchens</t>
  </si>
  <si>
    <t xml:space="preserve">stahlkitchens.com/collections/all-products</t>
  </si>
  <si>
    <t xml:space="preserve">Competitors — Freedom Tree (Bakeware)</t>
  </si>
  <si>
    <t xml:space="preserve">freedomtree.in/collections/bakeware, /ramekin, /dish, /kitchenware</t>
  </si>
  <si>
    <t xml:space="preserve">Competitors — IKEA (Kitchen Racks)</t>
  </si>
  <si>
    <t xml:space="preserve">ikea.com/in/en/cat/kitchen-wall-storage-20676</t>
  </si>
  <si>
    <t xml:space="preserve">Competitors — Milton/Cello/Signoraware/Tupperware/Treo (Container, Lunch Box)</t>
  </si>
  <si>
    <t xml:space="preserve">Various — Amazon, homecentre.in, brand sites</t>
  </si>
  <si>
    <t xml:space="preserve">Mixed</t>
  </si>
  <si>
    <t xml:space="preserve">Reviews — Amazon</t>
  </si>
  <si>
    <t xml:space="preserve">amazon.in — Nestasia storefronts across categories</t>
  </si>
  <si>
    <t xml:space="preserve">Marketplace reviews</t>
  </si>
  <si>
    <t xml:space="preserve">Reviews — Flipkart</t>
  </si>
  <si>
    <t xml:space="preserve">flipkart.com — Nestasia brand listings</t>
  </si>
  <si>
    <t xml:space="preserve">Reviews — Trustpilot</t>
  </si>
  <si>
    <t xml:space="preserve">trustpilot.com/review/nestasia.in</t>
  </si>
  <si>
    <t xml:space="preserve">Review platform</t>
  </si>
  <si>
    <t xml:space="preserve">Reviews — Judge.me</t>
  </si>
  <si>
    <t xml:space="preserve">judge.me/reviews/stores/nestasia.in</t>
  </si>
  <si>
    <t xml:space="preserve">qCommerce — Blinkit</t>
  </si>
  <si>
    <t xml:space="preserve">blinkit.com/brand/nestasia + individual product pages</t>
  </si>
  <si>
    <t xml:space="preserve">qCommerce — Zepto</t>
  </si>
  <si>
    <t xml:space="preserve">zepto.com/brand/Nestasia</t>
  </si>
  <si>
    <t xml:space="preserve">qCommerce — Swiggy Instamart</t>
  </si>
  <si>
    <t xml:space="preserve">swiggy.com/instamart/city/[city]/cb/nestasia/[category]</t>
  </si>
  <si>
    <t xml:space="preserve">Other channels — Myntra, Nykaa Fashion</t>
  </si>
  <si>
    <t xml:space="preserve">myntra.com/nestasia, nykaafashion.com/designers/nestasia</t>
  </si>
  <si>
    <t xml:space="preserve">Market sizing — Bakeware TAM/CAGR</t>
  </si>
  <si>
    <t xml:space="preserve">Grand View Research (cited by earlier team research, not independently re-verified)</t>
  </si>
  <si>
    <t xml:space="preserve">Secondary/market report</t>
  </si>
  <si>
    <t xml:space="preserve">Company/funding context</t>
  </si>
  <si>
    <t xml:space="preserve">inc42.com, afaqs.com, businesstoday.in, indianretailer.com, cbinsights.com, tracxn.com</t>
  </si>
  <si>
    <t xml:space="preserve">Industry press</t>
  </si>
  <si>
    <t xml:space="preserve">Disclaimer: All SKU counts, prices, discounts, and review figures reflect live storefront data pulled primarily on Aug 19, 2026 (Cookware baseline pulled Aug 12, 2026). Marketplace and qCommerce listings, prices, and stock change frequently. Every category tab's 'Insights' sheet contains its own data-limitations section — consult those before citing specific figures externally.</t>
  </si>
</sst>
</file>

<file path=xl/styles.xml><?xml version="1.0" encoding="utf-8"?>
<styleSheet xmlns="http://schemas.openxmlformats.org/spreadsheetml/2006/main">
  <numFmts count="2">
    <numFmt numFmtId="164" formatCode="General"/>
    <numFmt numFmtId="165" formatCode="0.0%"/>
  </numFmts>
  <fonts count="13">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1"/>
      <color rgb="FFFFFFFF"/>
      <name val="Arial"/>
      <family val="0"/>
      <charset val="1"/>
    </font>
    <font>
      <b val="true"/>
      <sz val="12"/>
      <color rgb="FF1F3864"/>
      <name val="Arial"/>
      <family val="0"/>
      <charset val="1"/>
    </font>
    <font>
      <sz val="10"/>
      <name val="Arial"/>
      <family val="0"/>
      <charset val="1"/>
    </font>
    <font>
      <b val="true"/>
      <sz val="10"/>
      <name val="Arial"/>
      <family val="0"/>
      <charset val="1"/>
    </font>
    <font>
      <b val="true"/>
      <sz val="10"/>
      <color rgb="FFFFFFFF"/>
      <name val="Arial"/>
      <family val="0"/>
      <charset val="1"/>
    </font>
    <font>
      <b val="true"/>
      <sz val="10"/>
      <color rgb="FF1F3864"/>
      <name val="Arial"/>
      <family val="0"/>
      <charset val="1"/>
    </font>
    <font>
      <i val="true"/>
      <sz val="9"/>
      <color rgb="FF595959"/>
      <name val="Arial"/>
      <family val="0"/>
      <charset val="1"/>
    </font>
    <font>
      <i val="true"/>
      <sz val="10"/>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D9E2F3"/>
        <bgColor rgb="FFE2EFDA"/>
      </patternFill>
    </fill>
    <fill>
      <patternFill patternType="solid">
        <fgColor rgb="FFFCE4D6"/>
        <bgColor rgb="FFFFF2CC"/>
      </patternFill>
    </fill>
    <fill>
      <patternFill patternType="solid">
        <fgColor rgb="FFE2EFDA"/>
        <bgColor rgb="FFD9E2F3"/>
      </patternFill>
    </fill>
    <fill>
      <patternFill patternType="solid">
        <fgColor rgb="FF2E5395"/>
        <bgColor rgb="FF1F3864"/>
      </patternFill>
    </fill>
    <fill>
      <patternFill patternType="solid">
        <fgColor rgb="FFBDD7EE"/>
        <bgColor rgb="FFD9E2F3"/>
      </patternFill>
    </fill>
    <fill>
      <patternFill patternType="solid">
        <fgColor rgb="FFFFF2CC"/>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0" shrinkToFit="false"/>
      <protection locked="true" hidden="false"/>
    </xf>
    <xf numFmtId="164" fontId="6" fillId="3" borderId="0" xfId="0" applyFont="true" applyBorder="true" applyAlignment="true" applyProtection="false">
      <alignment horizontal="left" vertical="center" textRotation="0" wrapText="false" indent="1"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10" fillId="7" borderId="0" xfId="0" applyFont="true" applyBorder="true" applyAlignment="true" applyProtection="false">
      <alignment horizontal="left" vertical="center" textRotation="0" wrapText="false" indent="1"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8" borderId="0" xfId="0" applyFont="true" applyBorder="true" applyAlignment="true" applyProtection="false">
      <alignment horizontal="left" vertical="top" textRotation="0" wrapText="true" indent="0" shrinkToFit="false"/>
      <protection locked="true" hidden="false"/>
    </xf>
    <xf numFmtId="164" fontId="7" fillId="4" borderId="0"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left"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general" vertical="bottom" textRotation="0" wrapText="false" indent="0" shrinkToFit="false"/>
      <protection locked="true" hidden="false"/>
    </xf>
    <xf numFmtId="165" fontId="0" fillId="7" borderId="1" xfId="0" applyFont="false" applyBorder="true" applyAlignment="tru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4" fontId="8" fillId="8" borderId="1" xfId="0" applyFont="true" applyBorder="true" applyAlignment="true" applyProtection="false">
      <alignment horizontal="general" vertical="bottom" textRotation="0" wrapText="false" indent="0" shrinkToFit="false"/>
      <protection locked="true" hidden="false"/>
    </xf>
    <xf numFmtId="164" fontId="0" fillId="8" borderId="1" xfId="0" applyFont="false" applyBorder="true" applyAlignment="true" applyProtection="false">
      <alignment horizontal="general" vertical="bottom" textRotation="0" wrapText="fals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12" fillId="3" borderId="0" xfId="0" applyFont="true" applyBorder="true" applyAlignment="true" applyProtection="false">
      <alignment horizontal="left" vertical="top" textRotation="0" wrapText="true" indent="0" shrinkToFit="false"/>
      <protection locked="true" hidden="false"/>
    </xf>
    <xf numFmtId="164" fontId="7" fillId="7" borderId="1" xfId="0" applyFont="true" applyBorder="true" applyAlignment="true" applyProtection="false">
      <alignment horizontal="general" vertical="bottom" textRotation="0" wrapText="fals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0" fillId="7"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7" fillId="3" borderId="0" xfId="0" applyFont="true" applyBorder="true" applyAlignment="true" applyProtection="false">
      <alignment horizontal="left" vertical="top" textRotation="0" wrapText="true" indent="0" shrinkToFit="false"/>
      <protection locked="true" hidden="false"/>
    </xf>
    <xf numFmtId="164" fontId="7" fillId="5" borderId="0" xfId="0" applyFont="true" applyBorder="true" applyAlignment="true" applyProtection="false">
      <alignment horizontal="left" vertical="top" textRotation="0" wrapText="true" indent="0" shrinkToFit="false"/>
      <protection locked="true" hidden="false"/>
    </xf>
    <xf numFmtId="164" fontId="7" fillId="7" borderId="1" xfId="0" applyFont="true" applyBorder="true" applyAlignment="true" applyProtection="false">
      <alignment horizontal="left" vertical="top" textRotation="0" wrapText="tru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9E2F3"/>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3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00"/>
  </cols>
  <sheetData>
    <row r="1" customFormat="false" ht="33.75" hidden="false" customHeight="true" outlineLevel="0" collapsed="false">
      <c r="A1" s="2" t="s">
        <v>0</v>
      </c>
      <c r="B1" s="2"/>
      <c r="C1" s="2"/>
      <c r="D1" s="2"/>
      <c r="E1" s="2"/>
      <c r="F1" s="2"/>
      <c r="G1" s="2"/>
      <c r="H1" s="2"/>
    </row>
    <row r="2" customFormat="false" ht="18" hidden="false" customHeight="true" outlineLevel="0" collapsed="false">
      <c r="A2" s="3" t="s">
        <v>1</v>
      </c>
      <c r="B2" s="3"/>
      <c r="C2" s="3"/>
      <c r="D2" s="3"/>
      <c r="E2" s="3"/>
      <c r="F2" s="3"/>
      <c r="G2" s="3"/>
      <c r="H2" s="3"/>
    </row>
    <row r="4" customFormat="false" ht="21.75" hidden="false" customHeight="true" outlineLevel="0" collapsed="false">
      <c r="A4" s="4" t="s">
        <v>2</v>
      </c>
      <c r="B4" s="4"/>
    </row>
    <row r="5" customFormat="false" ht="15" hidden="false" customHeight="true" outlineLevel="0" collapsed="false">
      <c r="A5" s="5" t="s">
        <v>3</v>
      </c>
      <c r="B5" s="5"/>
      <c r="C5" s="5"/>
      <c r="D5" s="5"/>
      <c r="E5" s="5"/>
      <c r="F5" s="5"/>
      <c r="G5" s="5"/>
      <c r="H5" s="5"/>
    </row>
    <row r="6" customFormat="false" ht="15" hidden="false" customHeight="true" outlineLevel="0" collapsed="false">
      <c r="A6" s="5"/>
      <c r="B6" s="5"/>
      <c r="C6" s="5"/>
      <c r="D6" s="5"/>
      <c r="E6" s="5"/>
      <c r="F6" s="5"/>
      <c r="G6" s="5"/>
      <c r="H6" s="5"/>
    </row>
    <row r="7" customFormat="false" ht="15" hidden="false" customHeight="true" outlineLevel="0" collapsed="false">
      <c r="A7" s="5"/>
      <c r="B7" s="5"/>
      <c r="C7" s="5"/>
      <c r="D7" s="5"/>
      <c r="E7" s="5"/>
      <c r="F7" s="5"/>
      <c r="G7" s="5"/>
      <c r="H7" s="5"/>
    </row>
    <row r="8" customFormat="false" ht="15" hidden="false" customHeight="true" outlineLevel="0" collapsed="false">
      <c r="A8" s="5"/>
      <c r="B8" s="5"/>
      <c r="C8" s="5"/>
      <c r="D8" s="5"/>
      <c r="E8" s="5"/>
      <c r="F8" s="5"/>
      <c r="G8" s="5"/>
      <c r="H8" s="5"/>
    </row>
    <row r="10" customFormat="false" ht="21.75" hidden="false" customHeight="true" outlineLevel="0" collapsed="false">
      <c r="A10" s="4" t="s">
        <v>4</v>
      </c>
      <c r="B10" s="4"/>
    </row>
    <row r="11" customFormat="false" ht="43.5" hidden="false" customHeight="true" outlineLevel="0" collapsed="false">
      <c r="A11" s="6" t="s">
        <v>5</v>
      </c>
      <c r="B11" s="7" t="s">
        <v>6</v>
      </c>
    </row>
    <row r="12" customFormat="false" ht="43.5" hidden="false" customHeight="true" outlineLevel="0" collapsed="false">
      <c r="A12" s="6" t="s">
        <v>7</v>
      </c>
      <c r="B12" s="7" t="s">
        <v>8</v>
      </c>
    </row>
    <row r="13" customFormat="false" ht="43.5" hidden="false" customHeight="true" outlineLevel="0" collapsed="false">
      <c r="A13" s="6" t="s">
        <v>9</v>
      </c>
      <c r="B13" s="7" t="s">
        <v>10</v>
      </c>
    </row>
    <row r="14" customFormat="false" ht="43.5" hidden="false" customHeight="true" outlineLevel="0" collapsed="false">
      <c r="A14" s="6" t="s">
        <v>11</v>
      </c>
      <c r="B14" s="7" t="s">
        <v>12</v>
      </c>
    </row>
    <row r="15" customFormat="false" ht="43.5" hidden="false" customHeight="true" outlineLevel="0" collapsed="false">
      <c r="A15" s="6" t="s">
        <v>13</v>
      </c>
      <c r="B15" s="7" t="s">
        <v>14</v>
      </c>
    </row>
    <row r="16" customFormat="false" ht="43.5" hidden="false" customHeight="true" outlineLevel="0" collapsed="false">
      <c r="A16" s="6" t="s">
        <v>15</v>
      </c>
      <c r="B16" s="7" t="s">
        <v>16</v>
      </c>
    </row>
    <row r="17" customFormat="false" ht="43.5" hidden="false" customHeight="true" outlineLevel="0" collapsed="false">
      <c r="A17" s="6" t="s">
        <v>17</v>
      </c>
      <c r="B17" s="7" t="s">
        <v>18</v>
      </c>
    </row>
    <row r="18" customFormat="false" ht="60" hidden="false" customHeight="true" outlineLevel="0" collapsed="false">
      <c r="A18" s="8" t="s">
        <v>19</v>
      </c>
      <c r="B18" s="9" t="s">
        <v>20</v>
      </c>
      <c r="C18" s="9"/>
      <c r="D18" s="9"/>
      <c r="E18" s="9"/>
      <c r="F18" s="9"/>
      <c r="G18" s="9"/>
      <c r="H18" s="9"/>
    </row>
    <row r="19" customFormat="false" ht="75" hidden="false" customHeight="true" outlineLevel="0" collapsed="false">
      <c r="A19" s="10" t="s">
        <v>21</v>
      </c>
      <c r="B19" s="10"/>
      <c r="C19" s="10"/>
      <c r="D19" s="10"/>
      <c r="E19" s="10"/>
      <c r="F19" s="10"/>
      <c r="G19" s="10"/>
      <c r="H19" s="10"/>
    </row>
    <row r="20" customFormat="false" ht="90" hidden="false" customHeight="true" outlineLevel="0" collapsed="false">
      <c r="A20" s="8" t="s">
        <v>22</v>
      </c>
      <c r="B20" s="9" t="s">
        <v>23</v>
      </c>
      <c r="C20" s="9"/>
      <c r="D20" s="9"/>
      <c r="E20" s="9"/>
      <c r="F20" s="9"/>
      <c r="G20" s="9"/>
      <c r="H20" s="9"/>
    </row>
    <row r="21" customFormat="false" ht="99.75" hidden="false" customHeight="true" outlineLevel="0" collapsed="false">
      <c r="A21" s="8" t="s">
        <v>24</v>
      </c>
      <c r="B21" s="9" t="s">
        <v>25</v>
      </c>
      <c r="C21" s="9"/>
      <c r="D21" s="9"/>
      <c r="E21" s="9"/>
      <c r="F21" s="9"/>
      <c r="G21" s="9"/>
      <c r="H21" s="9"/>
    </row>
    <row r="22" customFormat="false" ht="15" hidden="false" customHeight="true" outlineLevel="0" collapsed="false"/>
    <row r="23" customFormat="false" ht="15" hidden="false" customHeight="true" outlineLevel="0" collapsed="false"/>
    <row r="24" customFormat="false" ht="21.75" hidden="false" customHeight="true" outlineLevel="0" collapsed="false">
      <c r="A24" s="4" t="s">
        <v>26</v>
      </c>
      <c r="B24" s="4"/>
      <c r="C24" s="4"/>
      <c r="D24" s="4"/>
      <c r="E24" s="4"/>
      <c r="F24" s="4"/>
      <c r="G24" s="4"/>
      <c r="H24" s="4"/>
    </row>
    <row r="25" customFormat="false" ht="15" hidden="false" customHeight="true" outlineLevel="0" collapsed="false">
      <c r="A25" s="5" t="s">
        <v>27</v>
      </c>
      <c r="B25" s="5"/>
      <c r="C25" s="5"/>
      <c r="D25" s="5"/>
      <c r="E25" s="5"/>
      <c r="F25" s="5"/>
      <c r="G25" s="5"/>
      <c r="H25" s="5"/>
    </row>
    <row r="26" customFormat="false" ht="15" hidden="false" customHeight="true" outlineLevel="0" collapsed="false">
      <c r="A26" s="5"/>
      <c r="B26" s="5"/>
      <c r="C26" s="5"/>
      <c r="D26" s="5"/>
      <c r="E26" s="5"/>
      <c r="F26" s="5"/>
      <c r="G26" s="5"/>
      <c r="H26" s="5"/>
    </row>
    <row r="27" customFormat="false" ht="15" hidden="false" customHeight="true" outlineLevel="0" collapsed="false">
      <c r="A27" s="11"/>
      <c r="B27" s="12"/>
      <c r="C27" s="1"/>
      <c r="D27" s="1"/>
      <c r="E27" s="1"/>
      <c r="F27" s="1"/>
      <c r="G27" s="1"/>
      <c r="H27" s="1"/>
    </row>
    <row r="28" customFormat="false" ht="25.5" hidden="false" customHeight="true" outlineLevel="0" collapsed="false">
      <c r="A28" s="13" t="s">
        <v>28</v>
      </c>
      <c r="B28" s="13" t="s">
        <v>29</v>
      </c>
      <c r="C28" s="1"/>
      <c r="D28" s="1"/>
      <c r="E28" s="1"/>
      <c r="F28" s="1"/>
      <c r="G28" s="1"/>
      <c r="H28" s="1"/>
    </row>
    <row r="29" customFormat="false" ht="19.5" hidden="false" customHeight="true" outlineLevel="0" collapsed="false">
      <c r="A29" s="14" t="s">
        <v>30</v>
      </c>
      <c r="B29" s="14"/>
      <c r="C29" s="14"/>
      <c r="D29" s="14"/>
      <c r="E29" s="14"/>
      <c r="F29" s="14"/>
      <c r="G29" s="14"/>
      <c r="H29" s="14"/>
    </row>
    <row r="30" customFormat="false" ht="30" hidden="false" customHeight="true" outlineLevel="0" collapsed="false">
      <c r="A30" s="15" t="s">
        <v>31</v>
      </c>
      <c r="B30" s="7" t="s">
        <v>32</v>
      </c>
      <c r="C30" s="7"/>
      <c r="D30" s="7"/>
      <c r="E30" s="7"/>
      <c r="F30" s="7"/>
      <c r="G30" s="7"/>
      <c r="H30" s="7"/>
    </row>
    <row r="31" customFormat="false" ht="30" hidden="false" customHeight="true" outlineLevel="0" collapsed="false">
      <c r="A31" s="15" t="s">
        <v>33</v>
      </c>
      <c r="B31" s="7" t="s">
        <v>34</v>
      </c>
      <c r="C31" s="7"/>
      <c r="D31" s="7"/>
      <c r="E31" s="7"/>
      <c r="F31" s="7"/>
      <c r="G31" s="7"/>
      <c r="H31" s="7"/>
    </row>
    <row r="32" customFormat="false" ht="19.5" hidden="false" customHeight="true" outlineLevel="0" collapsed="false">
      <c r="A32" s="14" t="s">
        <v>35</v>
      </c>
      <c r="B32" s="14"/>
      <c r="C32" s="14"/>
      <c r="D32" s="14"/>
      <c r="E32" s="14"/>
      <c r="F32" s="14"/>
      <c r="G32" s="14"/>
      <c r="H32" s="14"/>
    </row>
    <row r="33" customFormat="false" ht="30" hidden="false" customHeight="true" outlineLevel="0" collapsed="false">
      <c r="A33" s="15" t="s">
        <v>36</v>
      </c>
      <c r="B33" s="7" t="s">
        <v>37</v>
      </c>
      <c r="C33" s="7"/>
      <c r="D33" s="7"/>
      <c r="E33" s="7"/>
      <c r="F33" s="7"/>
      <c r="G33" s="7"/>
      <c r="H33" s="7"/>
    </row>
    <row r="34" customFormat="false" ht="30" hidden="false" customHeight="true" outlineLevel="0" collapsed="false">
      <c r="A34" s="15" t="s">
        <v>38</v>
      </c>
      <c r="B34" s="7" t="s">
        <v>39</v>
      </c>
      <c r="C34" s="7"/>
      <c r="D34" s="7"/>
      <c r="E34" s="7"/>
      <c r="F34" s="7"/>
      <c r="G34" s="7"/>
      <c r="H34" s="7"/>
    </row>
    <row r="35" customFormat="false" ht="30" hidden="false" customHeight="true" outlineLevel="0" collapsed="false">
      <c r="A35" s="15" t="s">
        <v>40</v>
      </c>
      <c r="B35" s="7" t="s">
        <v>41</v>
      </c>
      <c r="C35" s="7"/>
      <c r="D35" s="7"/>
      <c r="E35" s="7"/>
      <c r="F35" s="7"/>
      <c r="G35" s="7"/>
      <c r="H35" s="7"/>
    </row>
    <row r="36" customFormat="false" ht="30" hidden="false" customHeight="true" outlineLevel="0" collapsed="false">
      <c r="A36" s="15" t="s">
        <v>42</v>
      </c>
      <c r="B36" s="7" t="s">
        <v>43</v>
      </c>
      <c r="C36" s="7"/>
      <c r="D36" s="7"/>
      <c r="E36" s="7"/>
      <c r="F36" s="7"/>
      <c r="G36" s="7"/>
      <c r="H36" s="7"/>
    </row>
    <row r="37" customFormat="false" ht="19.5" hidden="false" customHeight="true" outlineLevel="0" collapsed="false">
      <c r="A37" s="14" t="s">
        <v>44</v>
      </c>
      <c r="B37" s="14"/>
      <c r="C37" s="14"/>
      <c r="D37" s="14"/>
      <c r="E37" s="14"/>
      <c r="F37" s="14"/>
      <c r="G37" s="14"/>
      <c r="H37" s="14"/>
    </row>
    <row r="38" customFormat="false" ht="30" hidden="false" customHeight="true" outlineLevel="0" collapsed="false">
      <c r="A38" s="15" t="s">
        <v>45</v>
      </c>
      <c r="B38" s="7" t="s">
        <v>46</v>
      </c>
      <c r="C38" s="7"/>
      <c r="D38" s="7"/>
      <c r="E38" s="7"/>
      <c r="F38" s="7"/>
      <c r="G38" s="7"/>
      <c r="H38" s="7"/>
    </row>
    <row r="39" customFormat="false" ht="30" hidden="false" customHeight="true" outlineLevel="0" collapsed="false">
      <c r="A39" s="15" t="s">
        <v>47</v>
      </c>
      <c r="B39" s="7" t="s">
        <v>48</v>
      </c>
      <c r="C39" s="7"/>
      <c r="D39" s="7"/>
      <c r="E39" s="7"/>
      <c r="F39" s="7"/>
      <c r="G39" s="7"/>
      <c r="H39" s="7"/>
    </row>
    <row r="40" customFormat="false" ht="30" hidden="false" customHeight="true" outlineLevel="0" collapsed="false">
      <c r="A40" s="15" t="s">
        <v>49</v>
      </c>
      <c r="B40" s="7" t="s">
        <v>50</v>
      </c>
      <c r="C40" s="7"/>
      <c r="D40" s="7"/>
      <c r="E40" s="7"/>
      <c r="F40" s="7"/>
      <c r="G40" s="7"/>
      <c r="H40" s="7"/>
    </row>
    <row r="41" customFormat="false" ht="30" hidden="false" customHeight="true" outlineLevel="0" collapsed="false">
      <c r="A41" s="15" t="s">
        <v>51</v>
      </c>
      <c r="B41" s="7" t="s">
        <v>52</v>
      </c>
      <c r="C41" s="7"/>
      <c r="D41" s="7"/>
      <c r="E41" s="7"/>
      <c r="F41" s="7"/>
      <c r="G41" s="7"/>
      <c r="H41" s="7"/>
    </row>
    <row r="42" customFormat="false" ht="19.5" hidden="false" customHeight="true" outlineLevel="0" collapsed="false">
      <c r="A42" s="14" t="s">
        <v>53</v>
      </c>
      <c r="B42" s="14"/>
      <c r="C42" s="14"/>
      <c r="D42" s="14"/>
      <c r="E42" s="14"/>
      <c r="F42" s="14"/>
      <c r="G42" s="14"/>
      <c r="H42" s="14"/>
    </row>
    <row r="43" customFormat="false" ht="30" hidden="false" customHeight="true" outlineLevel="0" collapsed="false">
      <c r="A43" s="15" t="s">
        <v>54</v>
      </c>
      <c r="B43" s="7" t="s">
        <v>55</v>
      </c>
      <c r="C43" s="7"/>
      <c r="D43" s="7"/>
      <c r="E43" s="7"/>
      <c r="F43" s="7"/>
      <c r="G43" s="7"/>
      <c r="H43" s="7"/>
    </row>
    <row r="44" customFormat="false" ht="30" hidden="false" customHeight="true" outlineLevel="0" collapsed="false">
      <c r="A44" s="15" t="s">
        <v>56</v>
      </c>
      <c r="B44" s="7" t="s">
        <v>57</v>
      </c>
      <c r="C44" s="7"/>
      <c r="D44" s="7"/>
      <c r="E44" s="7"/>
      <c r="F44" s="7"/>
      <c r="G44" s="7"/>
      <c r="H44" s="7"/>
    </row>
    <row r="45" customFormat="false" ht="30" hidden="false" customHeight="true" outlineLevel="0" collapsed="false">
      <c r="A45" s="15" t="s">
        <v>58</v>
      </c>
      <c r="B45" s="7" t="s">
        <v>59</v>
      </c>
      <c r="C45" s="7"/>
      <c r="D45" s="7"/>
      <c r="E45" s="7"/>
      <c r="F45" s="7"/>
      <c r="G45" s="7"/>
      <c r="H45" s="7"/>
    </row>
    <row r="46" customFormat="false" ht="30" hidden="false" customHeight="true" outlineLevel="0" collapsed="false">
      <c r="A46" s="15" t="s">
        <v>60</v>
      </c>
      <c r="B46" s="7" t="s">
        <v>61</v>
      </c>
      <c r="C46" s="7"/>
      <c r="D46" s="7"/>
      <c r="E46" s="7"/>
      <c r="F46" s="7"/>
      <c r="G46" s="7"/>
      <c r="H46" s="7"/>
    </row>
    <row r="47" customFormat="false" ht="19.5" hidden="false" customHeight="true" outlineLevel="0" collapsed="false">
      <c r="A47" s="14" t="s">
        <v>62</v>
      </c>
      <c r="B47" s="14"/>
      <c r="C47" s="14"/>
      <c r="D47" s="14"/>
      <c r="E47" s="14"/>
      <c r="F47" s="14"/>
      <c r="G47" s="14"/>
      <c r="H47" s="14"/>
    </row>
    <row r="48" customFormat="false" ht="30" hidden="false" customHeight="true" outlineLevel="0" collapsed="false">
      <c r="A48" s="15" t="s">
        <v>63</v>
      </c>
      <c r="B48" s="7" t="s">
        <v>64</v>
      </c>
      <c r="C48" s="7"/>
      <c r="D48" s="7"/>
      <c r="E48" s="7"/>
      <c r="F48" s="7"/>
      <c r="G48" s="7"/>
      <c r="H48" s="7"/>
    </row>
    <row r="49" customFormat="false" ht="30" hidden="false" customHeight="true" outlineLevel="0" collapsed="false">
      <c r="A49" s="15" t="s">
        <v>65</v>
      </c>
      <c r="B49" s="7" t="s">
        <v>66</v>
      </c>
      <c r="C49" s="7"/>
      <c r="D49" s="7"/>
      <c r="E49" s="7"/>
      <c r="F49" s="7"/>
      <c r="G49" s="7"/>
      <c r="H49" s="7"/>
    </row>
    <row r="50" customFormat="false" ht="30" hidden="false" customHeight="true" outlineLevel="0" collapsed="false">
      <c r="A50" s="15" t="s">
        <v>67</v>
      </c>
      <c r="B50" s="7" t="s">
        <v>68</v>
      </c>
      <c r="C50" s="7"/>
      <c r="D50" s="7"/>
      <c r="E50" s="7"/>
      <c r="F50" s="7"/>
      <c r="G50" s="7"/>
      <c r="H50" s="7"/>
    </row>
    <row r="51" customFormat="false" ht="30" hidden="false" customHeight="true" outlineLevel="0" collapsed="false">
      <c r="A51" s="15" t="s">
        <v>69</v>
      </c>
      <c r="B51" s="7" t="s">
        <v>70</v>
      </c>
      <c r="C51" s="7"/>
      <c r="D51" s="7"/>
      <c r="E51" s="7"/>
      <c r="F51" s="7"/>
      <c r="G51" s="7"/>
      <c r="H51" s="7"/>
    </row>
    <row r="52" customFormat="false" ht="19.5" hidden="false" customHeight="true" outlineLevel="0" collapsed="false">
      <c r="A52" s="14" t="s">
        <v>71</v>
      </c>
      <c r="B52" s="14"/>
      <c r="C52" s="14"/>
      <c r="D52" s="14"/>
      <c r="E52" s="14"/>
      <c r="F52" s="14"/>
      <c r="G52" s="14"/>
      <c r="H52" s="14"/>
    </row>
    <row r="53" customFormat="false" ht="30" hidden="false" customHeight="true" outlineLevel="0" collapsed="false">
      <c r="A53" s="15" t="s">
        <v>72</v>
      </c>
      <c r="B53" s="7" t="s">
        <v>73</v>
      </c>
      <c r="C53" s="7"/>
      <c r="D53" s="7"/>
      <c r="E53" s="7"/>
      <c r="F53" s="7"/>
      <c r="G53" s="7"/>
      <c r="H53" s="7"/>
    </row>
    <row r="54" customFormat="false" ht="30" hidden="false" customHeight="true" outlineLevel="0" collapsed="false">
      <c r="A54" s="15" t="s">
        <v>74</v>
      </c>
      <c r="B54" s="7" t="s">
        <v>75</v>
      </c>
      <c r="C54" s="7"/>
      <c r="D54" s="7"/>
      <c r="E54" s="7"/>
      <c r="F54" s="7"/>
      <c r="G54" s="7"/>
      <c r="H54" s="7"/>
    </row>
    <row r="55" customFormat="false" ht="30" hidden="false" customHeight="true" outlineLevel="0" collapsed="false">
      <c r="A55" s="15" t="s">
        <v>76</v>
      </c>
      <c r="B55" s="7" t="s">
        <v>77</v>
      </c>
      <c r="C55" s="7"/>
      <c r="D55" s="7"/>
      <c r="E55" s="7"/>
      <c r="F55" s="7"/>
      <c r="G55" s="7"/>
      <c r="H55" s="7"/>
    </row>
    <row r="56" customFormat="false" ht="30" hidden="false" customHeight="true" outlineLevel="0" collapsed="false">
      <c r="A56" s="15" t="s">
        <v>78</v>
      </c>
      <c r="B56" s="7" t="s">
        <v>79</v>
      </c>
      <c r="C56" s="7"/>
      <c r="D56" s="7"/>
      <c r="E56" s="7"/>
      <c r="F56" s="7"/>
      <c r="G56" s="7"/>
      <c r="H56" s="7"/>
    </row>
    <row r="57" customFormat="false" ht="19.5" hidden="false" customHeight="true" outlineLevel="0" collapsed="false">
      <c r="A57" s="14" t="s">
        <v>80</v>
      </c>
      <c r="B57" s="14"/>
      <c r="C57" s="14"/>
      <c r="D57" s="14"/>
      <c r="E57" s="14"/>
      <c r="F57" s="14"/>
      <c r="G57" s="14"/>
      <c r="H57" s="14"/>
    </row>
    <row r="58" customFormat="false" ht="30" hidden="false" customHeight="true" outlineLevel="0" collapsed="false">
      <c r="A58" s="15" t="s">
        <v>81</v>
      </c>
      <c r="B58" s="7" t="s">
        <v>82</v>
      </c>
      <c r="C58" s="7"/>
      <c r="D58" s="7"/>
      <c r="E58" s="7"/>
      <c r="F58" s="7"/>
      <c r="G58" s="7"/>
      <c r="H58" s="7"/>
    </row>
    <row r="59" customFormat="false" ht="90" hidden="false" customHeight="true" outlineLevel="0" collapsed="false">
      <c r="A59" s="16"/>
      <c r="B59" s="12"/>
      <c r="C59" s="1"/>
      <c r="D59" s="1"/>
      <c r="E59" s="1"/>
      <c r="F59" s="1"/>
      <c r="G59" s="1"/>
      <c r="H59" s="1"/>
    </row>
    <row r="60" customFormat="false" ht="15" hidden="false" customHeight="true" outlineLevel="0" collapsed="false">
      <c r="C60" s="1"/>
      <c r="D60" s="1"/>
      <c r="E60" s="1"/>
      <c r="F60" s="1"/>
      <c r="G60" s="1"/>
      <c r="H60" s="1"/>
    </row>
    <row r="61" customFormat="false" ht="15" hidden="false" customHeight="true" outlineLevel="0" collapsed="false">
      <c r="C61" s="1"/>
      <c r="D61" s="1"/>
      <c r="E61" s="1"/>
      <c r="F61" s="1"/>
      <c r="G61" s="1"/>
      <c r="H61" s="1"/>
    </row>
    <row r="62" customFormat="false" ht="15" hidden="false" customHeight="true" outlineLevel="0" collapsed="false">
      <c r="C62" s="1"/>
      <c r="D62" s="1"/>
      <c r="E62" s="1"/>
      <c r="F62" s="1"/>
      <c r="G62" s="1"/>
      <c r="H62" s="1"/>
    </row>
    <row r="63" customFormat="false" ht="15" hidden="false" customHeight="true" outlineLevel="0" collapsed="false">
      <c r="C63" s="1"/>
      <c r="D63" s="1"/>
      <c r="E63" s="1"/>
      <c r="F63" s="1"/>
      <c r="G63" s="1"/>
      <c r="H63" s="1"/>
    </row>
  </sheetData>
  <mergeCells count="42">
    <mergeCell ref="A1:H1"/>
    <mergeCell ref="A2:H2"/>
    <mergeCell ref="A4:B4"/>
    <mergeCell ref="A5:H8"/>
    <mergeCell ref="A10:B10"/>
    <mergeCell ref="B18:H18"/>
    <mergeCell ref="A19:B19"/>
    <mergeCell ref="B19:H19"/>
    <mergeCell ref="B20:H20"/>
    <mergeCell ref="B21:H21"/>
    <mergeCell ref="A24:H24"/>
    <mergeCell ref="A25:H26"/>
    <mergeCell ref="A29:H29"/>
    <mergeCell ref="B30:H30"/>
    <mergeCell ref="B31:H31"/>
    <mergeCell ref="A32:H32"/>
    <mergeCell ref="B33:H33"/>
    <mergeCell ref="B34:H34"/>
    <mergeCell ref="B35:H35"/>
    <mergeCell ref="B36:H36"/>
    <mergeCell ref="A37:H37"/>
    <mergeCell ref="B38:H38"/>
    <mergeCell ref="B39:H39"/>
    <mergeCell ref="B40:H40"/>
    <mergeCell ref="B41:H41"/>
    <mergeCell ref="A42:H42"/>
    <mergeCell ref="B43:H43"/>
    <mergeCell ref="B44:H44"/>
    <mergeCell ref="B45:H45"/>
    <mergeCell ref="B46:H46"/>
    <mergeCell ref="A47:H47"/>
    <mergeCell ref="B48:H48"/>
    <mergeCell ref="B49:H49"/>
    <mergeCell ref="B50:H50"/>
    <mergeCell ref="B51:H51"/>
    <mergeCell ref="A52:H52"/>
    <mergeCell ref="B53:H53"/>
    <mergeCell ref="B54:H54"/>
    <mergeCell ref="B55:H55"/>
    <mergeCell ref="B56:H56"/>
    <mergeCell ref="A57:H57"/>
    <mergeCell ref="B58:H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6" min="2" style="1" width="16"/>
  </cols>
  <sheetData>
    <row r="1" customFormat="false" ht="31.5" hidden="false" customHeight="true" outlineLevel="0" collapsed="false">
      <c r="A1" s="2" t="s">
        <v>83</v>
      </c>
      <c r="B1" s="2"/>
      <c r="C1" s="2"/>
      <c r="D1" s="2"/>
      <c r="E1" s="2"/>
      <c r="F1" s="2"/>
    </row>
    <row r="2" customFormat="false" ht="18" hidden="false" customHeight="true" outlineLevel="0" collapsed="false">
      <c r="A2" s="3" t="s">
        <v>84</v>
      </c>
      <c r="B2" s="3"/>
      <c r="C2" s="3"/>
      <c r="D2" s="3"/>
      <c r="E2" s="3"/>
      <c r="F2" s="3"/>
    </row>
    <row r="4" customFormat="false" ht="21.75" hidden="false" customHeight="true" outlineLevel="0" collapsed="false">
      <c r="A4" s="4" t="s">
        <v>85</v>
      </c>
      <c r="B4" s="4"/>
      <c r="C4" s="4"/>
      <c r="D4" s="4"/>
      <c r="E4" s="4"/>
      <c r="F4" s="4"/>
    </row>
    <row r="5" customFormat="false" ht="30" hidden="false" customHeight="true" outlineLevel="0" collapsed="false">
      <c r="A5" s="13" t="s">
        <v>86</v>
      </c>
      <c r="B5" s="13" t="s">
        <v>87</v>
      </c>
      <c r="C5" s="13" t="s">
        <v>88</v>
      </c>
      <c r="D5" s="13" t="s">
        <v>89</v>
      </c>
      <c r="E5" s="13" t="s">
        <v>90</v>
      </c>
      <c r="F5" s="13" t="s">
        <v>91</v>
      </c>
    </row>
    <row r="6" customFormat="false" ht="31.5" hidden="false" customHeight="true" outlineLevel="0" collapsed="false">
      <c r="A6" s="7" t="s">
        <v>92</v>
      </c>
      <c r="B6" s="17" t="s">
        <v>93</v>
      </c>
      <c r="C6" s="17" t="s">
        <v>94</v>
      </c>
      <c r="D6" s="17" t="s">
        <v>93</v>
      </c>
      <c r="E6" s="17" t="s">
        <v>95</v>
      </c>
      <c r="F6" s="17" t="s">
        <v>96</v>
      </c>
    </row>
    <row r="7" customFormat="false" ht="31.5" hidden="false" customHeight="true" outlineLevel="0" collapsed="false">
      <c r="A7" s="7" t="s">
        <v>97</v>
      </c>
      <c r="B7" s="17" t="s">
        <v>98</v>
      </c>
      <c r="C7" s="17" t="s">
        <v>99</v>
      </c>
      <c r="D7" s="17" t="s">
        <v>100</v>
      </c>
      <c r="E7" s="17" t="s">
        <v>101</v>
      </c>
      <c r="F7" s="17" t="s">
        <v>102</v>
      </c>
    </row>
    <row r="8" customFormat="false" ht="31.5" hidden="false" customHeight="true" outlineLevel="0" collapsed="false">
      <c r="A8" s="7" t="s">
        <v>103</v>
      </c>
      <c r="B8" s="17" t="s">
        <v>104</v>
      </c>
      <c r="C8" s="17" t="s">
        <v>105</v>
      </c>
      <c r="D8" s="17" t="s">
        <v>105</v>
      </c>
      <c r="E8" s="17" t="s">
        <v>106</v>
      </c>
      <c r="F8" s="17" t="s">
        <v>107</v>
      </c>
    </row>
    <row r="9" customFormat="false" ht="31.5" hidden="false" customHeight="true" outlineLevel="0" collapsed="false">
      <c r="A9" s="7" t="s">
        <v>108</v>
      </c>
      <c r="B9" s="17" t="s">
        <v>109</v>
      </c>
      <c r="C9" s="17" t="s">
        <v>110</v>
      </c>
      <c r="D9" s="17" t="s">
        <v>111</v>
      </c>
      <c r="E9" s="17" t="s">
        <v>112</v>
      </c>
      <c r="F9" s="17" t="s">
        <v>113</v>
      </c>
    </row>
    <row r="10" customFormat="false" ht="31.5" hidden="false" customHeight="true" outlineLevel="0" collapsed="false">
      <c r="A10" s="7" t="s">
        <v>114</v>
      </c>
      <c r="B10" s="17" t="s">
        <v>115</v>
      </c>
      <c r="C10" s="17" t="s">
        <v>116</v>
      </c>
      <c r="D10" s="17" t="s">
        <v>117</v>
      </c>
      <c r="E10" s="17" t="s">
        <v>118</v>
      </c>
      <c r="F10" s="17" t="s">
        <v>119</v>
      </c>
    </row>
    <row r="11" customFormat="false" ht="31.5" hidden="false" customHeight="true" outlineLevel="0" collapsed="false">
      <c r="A11" s="7" t="s">
        <v>120</v>
      </c>
      <c r="B11" s="17" t="s">
        <v>121</v>
      </c>
      <c r="C11" s="17" t="s">
        <v>122</v>
      </c>
      <c r="D11" s="17" t="s">
        <v>123</v>
      </c>
      <c r="E11" s="17" t="s">
        <v>123</v>
      </c>
      <c r="F11" s="17" t="s">
        <v>123</v>
      </c>
    </row>
    <row r="12" customFormat="false" ht="31.5" hidden="false" customHeight="true" outlineLevel="0" collapsed="false">
      <c r="A12" s="7" t="s">
        <v>124</v>
      </c>
      <c r="B12" s="17" t="s">
        <v>125</v>
      </c>
      <c r="C12" s="17" t="s">
        <v>126</v>
      </c>
      <c r="D12" s="17" t="s">
        <v>127</v>
      </c>
      <c r="E12" s="17" t="s">
        <v>128</v>
      </c>
      <c r="F12" s="17" t="s">
        <v>128</v>
      </c>
    </row>
    <row r="13" customFormat="false" ht="31.5" hidden="false" customHeight="true" outlineLevel="0" collapsed="false">
      <c r="A13" s="7" t="s">
        <v>129</v>
      </c>
      <c r="B13" s="17" t="s">
        <v>130</v>
      </c>
      <c r="C13" s="17" t="s">
        <v>131</v>
      </c>
      <c r="D13" s="17" t="s">
        <v>132</v>
      </c>
      <c r="E13" s="17" t="s">
        <v>133</v>
      </c>
      <c r="F13" s="17" t="s">
        <v>128</v>
      </c>
    </row>
    <row r="14" customFormat="false" ht="31.5" hidden="false" customHeight="true" outlineLevel="0" collapsed="false">
      <c r="A14" s="7" t="s">
        <v>134</v>
      </c>
      <c r="B14" s="17" t="s">
        <v>135</v>
      </c>
      <c r="C14" s="17" t="s">
        <v>136</v>
      </c>
      <c r="D14" s="17" t="s">
        <v>137</v>
      </c>
      <c r="E14" s="17" t="s">
        <v>137</v>
      </c>
      <c r="F14" s="17" t="s">
        <v>138</v>
      </c>
    </row>
    <row r="16" customFormat="false" ht="21.75" hidden="false" customHeight="true" outlineLevel="0" collapsed="false">
      <c r="A16" s="4" t="s">
        <v>139</v>
      </c>
      <c r="B16" s="4"/>
      <c r="C16" s="4"/>
      <c r="D16" s="4"/>
      <c r="E16" s="4"/>
      <c r="F16" s="4"/>
    </row>
    <row r="17" customFormat="false" ht="109.5" hidden="false" customHeight="true" outlineLevel="0" collapsed="false">
      <c r="A17" s="18" t="s">
        <v>140</v>
      </c>
      <c r="B17" s="18"/>
      <c r="C17" s="18"/>
      <c r="D17" s="18"/>
      <c r="E17" s="18"/>
      <c r="F17" s="18"/>
    </row>
    <row r="18" customFormat="false" ht="15" hidden="false" customHeight="true" outlineLevel="0" collapsed="false">
      <c r="A18" s="18"/>
      <c r="B18" s="18"/>
      <c r="C18" s="18"/>
      <c r="D18" s="18"/>
      <c r="E18" s="18"/>
      <c r="F18" s="18"/>
    </row>
    <row r="19" customFormat="false" ht="15" hidden="false" customHeight="true" outlineLevel="0" collapsed="false">
      <c r="A19" s="18"/>
      <c r="B19" s="18"/>
      <c r="C19" s="18"/>
      <c r="D19" s="18"/>
      <c r="E19" s="18"/>
      <c r="F19" s="18"/>
    </row>
    <row r="20" customFormat="false" ht="15" hidden="false" customHeight="true" outlineLevel="0" collapsed="false">
      <c r="A20" s="18"/>
      <c r="B20" s="18"/>
      <c r="C20" s="18"/>
      <c r="D20" s="18"/>
      <c r="E20" s="18"/>
      <c r="F20" s="18"/>
    </row>
    <row r="21" customFormat="false" ht="15" hidden="false" customHeight="true" outlineLevel="0" collapsed="false">
      <c r="A21" s="18"/>
      <c r="B21" s="18"/>
      <c r="C21" s="18"/>
      <c r="D21" s="18"/>
      <c r="E21" s="18"/>
      <c r="F21" s="18"/>
    </row>
    <row r="22" customFormat="false" ht="15" hidden="false" customHeight="true" outlineLevel="0" collapsed="false">
      <c r="A22" s="18"/>
      <c r="B22" s="18"/>
      <c r="C22" s="18"/>
      <c r="D22" s="18"/>
      <c r="E22" s="18"/>
      <c r="F22" s="18"/>
    </row>
    <row r="24" customFormat="false" ht="21.75" hidden="false" customHeight="true" outlineLevel="0" collapsed="false">
      <c r="A24" s="4" t="s">
        <v>141</v>
      </c>
      <c r="B24" s="4"/>
      <c r="C24" s="4"/>
      <c r="D24" s="4"/>
      <c r="E24" s="4"/>
      <c r="F24" s="4"/>
    </row>
    <row r="25" customFormat="false" ht="15" hidden="false" customHeight="true" outlineLevel="0" collapsed="false">
      <c r="A25" s="19" t="s">
        <v>142</v>
      </c>
      <c r="B25" s="19"/>
      <c r="C25" s="19"/>
      <c r="D25" s="19"/>
      <c r="E25" s="19"/>
      <c r="F25" s="19"/>
    </row>
    <row r="26" customFormat="false" ht="15" hidden="false" customHeight="true" outlineLevel="0" collapsed="false">
      <c r="A26" s="19"/>
      <c r="B26" s="19"/>
      <c r="C26" s="19"/>
      <c r="D26" s="19"/>
      <c r="E26" s="19"/>
      <c r="F26" s="19"/>
    </row>
    <row r="27" customFormat="false" ht="15" hidden="false" customHeight="true" outlineLevel="0" collapsed="false">
      <c r="A27" s="19"/>
      <c r="B27" s="19"/>
      <c r="C27" s="19"/>
      <c r="D27" s="19"/>
      <c r="E27" s="19"/>
      <c r="F27" s="19"/>
    </row>
    <row r="28" customFormat="false" ht="15" hidden="false" customHeight="true" outlineLevel="0" collapsed="false">
      <c r="A28" s="19"/>
      <c r="B28" s="19"/>
      <c r="C28" s="19"/>
      <c r="D28" s="19"/>
      <c r="E28" s="19"/>
      <c r="F28" s="19"/>
    </row>
    <row r="29" customFormat="false" ht="15" hidden="false" customHeight="true" outlineLevel="0" collapsed="false">
      <c r="A29" s="19"/>
      <c r="B29" s="19"/>
      <c r="C29" s="19"/>
      <c r="D29" s="19"/>
      <c r="E29" s="19"/>
      <c r="F29" s="19"/>
    </row>
    <row r="30" customFormat="false" ht="15" hidden="false" customHeight="true" outlineLevel="0" collapsed="false">
      <c r="A30" s="19"/>
      <c r="B30" s="19"/>
      <c r="C30" s="19"/>
      <c r="D30" s="19"/>
      <c r="E30" s="19"/>
      <c r="F30" s="19"/>
    </row>
    <row r="31" customFormat="false" ht="15" hidden="false" customHeight="true" outlineLevel="0" collapsed="false">
      <c r="A31" s="19"/>
      <c r="B31" s="19"/>
      <c r="C31" s="19"/>
      <c r="D31" s="19"/>
      <c r="E31" s="19"/>
      <c r="F31" s="19"/>
    </row>
  </sheetData>
  <mergeCells count="7">
    <mergeCell ref="A1:F1"/>
    <mergeCell ref="A2:F2"/>
    <mergeCell ref="A4:F4"/>
    <mergeCell ref="A16:F16"/>
    <mergeCell ref="A17:F22"/>
    <mergeCell ref="A24:F24"/>
    <mergeCell ref="A25:F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2"/>
    <col collapsed="false" customWidth="true" hidden="false" outlineLevel="0" max="3" min="3" style="1" width="16"/>
    <col collapsed="false" customWidth="true" hidden="false" outlineLevel="0" max="4" min="4" style="1" width="24"/>
    <col collapsed="false" customWidth="true" hidden="false" outlineLevel="0" max="5" min="5" style="1" width="30"/>
    <col collapsed="false" customWidth="true" hidden="false" outlineLevel="0" max="6" min="6" style="1" width="14"/>
    <col collapsed="false" customWidth="true" hidden="false" outlineLevel="0" max="7" min="7" style="1" width="34"/>
    <col collapsed="false" customWidth="true" hidden="false" outlineLevel="0" max="8" min="8" style="1" width="20"/>
  </cols>
  <sheetData>
    <row r="1" customFormat="false" ht="31.5" hidden="false" customHeight="true" outlineLevel="0" collapsed="false">
      <c r="A1" s="2" t="s">
        <v>143</v>
      </c>
      <c r="B1" s="2"/>
      <c r="C1" s="2"/>
      <c r="D1" s="2"/>
      <c r="E1" s="2"/>
      <c r="F1" s="2"/>
      <c r="G1" s="2"/>
      <c r="H1" s="2"/>
    </row>
    <row r="2" customFormat="false" ht="18" hidden="false" customHeight="true" outlineLevel="0" collapsed="false">
      <c r="A2" s="3" t="s">
        <v>144</v>
      </c>
      <c r="B2" s="3"/>
      <c r="C2" s="3"/>
      <c r="D2" s="3"/>
      <c r="E2" s="3"/>
      <c r="F2" s="3"/>
      <c r="G2" s="3"/>
      <c r="H2" s="3"/>
    </row>
    <row r="4" customFormat="false" ht="21.75" hidden="false" customHeight="true" outlineLevel="0" collapsed="false">
      <c r="A4" s="4" t="s">
        <v>145</v>
      </c>
      <c r="B4" s="4"/>
      <c r="C4" s="4"/>
      <c r="D4" s="4"/>
      <c r="E4" s="4"/>
      <c r="F4" s="4"/>
      <c r="G4" s="4"/>
      <c r="H4" s="4"/>
    </row>
    <row r="5" customFormat="false" ht="31.5" hidden="false" customHeight="true" outlineLevel="0" collapsed="false">
      <c r="A5" s="2" t="s">
        <v>146</v>
      </c>
      <c r="B5" s="2"/>
      <c r="C5" s="2"/>
      <c r="D5" s="2"/>
      <c r="E5" s="2"/>
      <c r="F5" s="2"/>
      <c r="G5" s="2"/>
      <c r="H5" s="2"/>
    </row>
    <row r="6" customFormat="false" ht="18" hidden="false" customHeight="true" outlineLevel="0" collapsed="false">
      <c r="A6" s="3" t="s">
        <v>147</v>
      </c>
      <c r="B6" s="3"/>
      <c r="C6" s="3"/>
      <c r="D6" s="3"/>
      <c r="E6" s="3"/>
      <c r="F6" s="3"/>
      <c r="G6" s="3"/>
      <c r="H6" s="3"/>
    </row>
    <row r="8" customFormat="false" ht="30" hidden="false" customHeight="true" outlineLevel="0" collapsed="false">
      <c r="A8" s="13" t="s">
        <v>148</v>
      </c>
      <c r="B8" s="13" t="s">
        <v>149</v>
      </c>
      <c r="C8" s="13" t="s">
        <v>150</v>
      </c>
      <c r="D8" s="13" t="s">
        <v>151</v>
      </c>
      <c r="E8" s="13" t="s">
        <v>152</v>
      </c>
      <c r="F8" s="13" t="s">
        <v>153</v>
      </c>
      <c r="G8" s="13" t="s">
        <v>154</v>
      </c>
      <c r="H8" s="13" t="s">
        <v>155</v>
      </c>
    </row>
    <row r="9" customFormat="false" ht="69.75" hidden="false" customHeight="true" outlineLevel="0" collapsed="false">
      <c r="A9" s="17" t="s">
        <v>156</v>
      </c>
      <c r="B9" s="17" t="n">
        <v>84</v>
      </c>
      <c r="C9" s="17" t="s">
        <v>157</v>
      </c>
      <c r="D9" s="7" t="s">
        <v>158</v>
      </c>
      <c r="E9" s="7" t="s">
        <v>159</v>
      </c>
      <c r="F9" s="17" t="s">
        <v>160</v>
      </c>
      <c r="G9" s="7" t="s">
        <v>161</v>
      </c>
      <c r="H9" s="7" t="s">
        <v>162</v>
      </c>
    </row>
    <row r="10" customFormat="false" ht="69.75" hidden="false" customHeight="true" outlineLevel="0" collapsed="false">
      <c r="A10" s="17" t="s">
        <v>163</v>
      </c>
      <c r="B10" s="17" t="n">
        <v>31</v>
      </c>
      <c r="C10" s="17" t="s">
        <v>164</v>
      </c>
      <c r="D10" s="7" t="s">
        <v>165</v>
      </c>
      <c r="E10" s="7" t="s">
        <v>166</v>
      </c>
      <c r="F10" s="17" t="s">
        <v>167</v>
      </c>
      <c r="G10" s="7" t="s">
        <v>168</v>
      </c>
      <c r="H10" s="7" t="s">
        <v>169</v>
      </c>
    </row>
    <row r="11" customFormat="false" ht="69.75" hidden="false" customHeight="true" outlineLevel="0" collapsed="false">
      <c r="A11" s="17" t="s">
        <v>170</v>
      </c>
      <c r="B11" s="17" t="n">
        <v>45</v>
      </c>
      <c r="C11" s="17" t="s">
        <v>171</v>
      </c>
      <c r="D11" s="7" t="s">
        <v>172</v>
      </c>
      <c r="E11" s="7" t="s">
        <v>173</v>
      </c>
      <c r="F11" s="17" t="s">
        <v>174</v>
      </c>
      <c r="G11" s="7" t="s">
        <v>175</v>
      </c>
      <c r="H11" s="7" t="s">
        <v>176</v>
      </c>
    </row>
    <row r="12" customFormat="false" ht="69.75" hidden="false" customHeight="true" outlineLevel="0" collapsed="false">
      <c r="A12" s="17" t="s">
        <v>177</v>
      </c>
      <c r="B12" s="17" t="n">
        <v>7</v>
      </c>
      <c r="C12" s="17" t="s">
        <v>178</v>
      </c>
      <c r="D12" s="7" t="s">
        <v>179</v>
      </c>
      <c r="E12" s="7" t="s">
        <v>180</v>
      </c>
      <c r="F12" s="17" t="s">
        <v>181</v>
      </c>
      <c r="G12" s="7" t="s">
        <v>182</v>
      </c>
      <c r="H12" s="7" t="s">
        <v>183</v>
      </c>
    </row>
    <row r="13" customFormat="false" ht="69.75" hidden="false" customHeight="true" outlineLevel="0" collapsed="false">
      <c r="A13" s="17" t="s">
        <v>184</v>
      </c>
      <c r="B13" s="17" t="n">
        <v>8</v>
      </c>
      <c r="C13" s="17" t="s">
        <v>185</v>
      </c>
      <c r="D13" s="7" t="s">
        <v>186</v>
      </c>
      <c r="E13" s="7" t="s">
        <v>187</v>
      </c>
      <c r="F13" s="17" t="s">
        <v>188</v>
      </c>
      <c r="G13" s="7" t="s">
        <v>189</v>
      </c>
      <c r="H13" s="7" t="s">
        <v>190</v>
      </c>
    </row>
    <row r="14" customFormat="false" ht="69.75" hidden="false" customHeight="true" outlineLevel="0" collapsed="false">
      <c r="A14" s="17" t="s">
        <v>191</v>
      </c>
      <c r="B14" s="17" t="n">
        <v>12</v>
      </c>
      <c r="C14" s="17" t="s">
        <v>192</v>
      </c>
      <c r="D14" s="7" t="s">
        <v>181</v>
      </c>
      <c r="E14" s="7" t="s">
        <v>193</v>
      </c>
      <c r="F14" s="17" t="s">
        <v>194</v>
      </c>
      <c r="G14" s="7" t="s">
        <v>195</v>
      </c>
      <c r="H14" s="7" t="s">
        <v>196</v>
      </c>
    </row>
    <row r="15" customFormat="false" ht="69.75" hidden="false" customHeight="true" outlineLevel="0" collapsed="false">
      <c r="A15" s="17" t="s">
        <v>197</v>
      </c>
      <c r="B15" s="17" t="n">
        <v>69</v>
      </c>
      <c r="C15" s="17" t="s">
        <v>198</v>
      </c>
      <c r="D15" s="7" t="s">
        <v>199</v>
      </c>
      <c r="E15" s="7" t="s">
        <v>200</v>
      </c>
      <c r="F15" s="17" t="s">
        <v>201</v>
      </c>
      <c r="G15" s="7" t="s">
        <v>202</v>
      </c>
      <c r="H15" s="7" t="s">
        <v>203</v>
      </c>
    </row>
    <row r="17" customFormat="false" ht="21.75" hidden="false" customHeight="true" outlineLevel="0" collapsed="false">
      <c r="A17" s="4" t="s">
        <v>204</v>
      </c>
      <c r="B17" s="4"/>
      <c r="C17" s="4"/>
      <c r="D17" s="4"/>
      <c r="E17" s="4"/>
      <c r="F17" s="4"/>
      <c r="G17" s="4"/>
      <c r="H17" s="4"/>
    </row>
    <row r="18" customFormat="false" ht="39.75" hidden="false" customHeight="true" outlineLevel="0" collapsed="false">
      <c r="A18" s="20" t="s">
        <v>152</v>
      </c>
      <c r="B18" s="21" t="s">
        <v>205</v>
      </c>
      <c r="C18" s="21"/>
      <c r="D18" s="21"/>
      <c r="E18" s="21"/>
      <c r="F18" s="21"/>
      <c r="G18" s="21"/>
      <c r="H18" s="21"/>
    </row>
    <row r="19" customFormat="false" ht="39.75" hidden="false" customHeight="true" outlineLevel="0" collapsed="false">
      <c r="A19" s="20" t="s">
        <v>206</v>
      </c>
      <c r="B19" s="21" t="s">
        <v>207</v>
      </c>
      <c r="C19" s="21"/>
      <c r="D19" s="21"/>
      <c r="E19" s="21"/>
      <c r="F19" s="21"/>
      <c r="G19" s="21"/>
      <c r="H19" s="21"/>
    </row>
    <row r="20" customFormat="false" ht="39.75" hidden="false" customHeight="true" outlineLevel="0" collapsed="false">
      <c r="A20" s="20" t="s">
        <v>208</v>
      </c>
      <c r="B20" s="21" t="s">
        <v>209</v>
      </c>
      <c r="C20" s="21"/>
      <c r="D20" s="21"/>
      <c r="E20" s="21"/>
      <c r="F20" s="21"/>
      <c r="G20" s="21"/>
      <c r="H20" s="21"/>
    </row>
    <row r="21" customFormat="false" ht="39.75" hidden="false" customHeight="true" outlineLevel="0" collapsed="false">
      <c r="A21" s="20" t="s">
        <v>210</v>
      </c>
      <c r="B21" s="21" t="s">
        <v>211</v>
      </c>
      <c r="C21" s="21"/>
      <c r="D21" s="21"/>
      <c r="E21" s="21"/>
      <c r="F21" s="21"/>
      <c r="G21" s="21"/>
      <c r="H21" s="21"/>
    </row>
    <row r="23" customFormat="false" ht="15" hidden="false" customHeight="true" outlineLevel="0" collapsed="false">
      <c r="A23" s="22" t="s">
        <v>212</v>
      </c>
      <c r="B23" s="22"/>
      <c r="C23" s="22"/>
      <c r="D23" s="22"/>
      <c r="E23" s="22"/>
      <c r="F23" s="22"/>
      <c r="G23" s="22"/>
      <c r="H23" s="22"/>
    </row>
    <row r="24" customFormat="false" ht="15" hidden="false" customHeight="true" outlineLevel="0" collapsed="false">
      <c r="A24" s="22"/>
      <c r="B24" s="22"/>
      <c r="C24" s="22"/>
      <c r="D24" s="22"/>
      <c r="E24" s="22"/>
      <c r="F24" s="22"/>
      <c r="G24" s="22"/>
      <c r="H24" s="22"/>
    </row>
    <row r="25" customFormat="false" ht="15" hidden="false" customHeight="true" outlineLevel="0" collapsed="false">
      <c r="A25" s="22"/>
      <c r="B25" s="22"/>
      <c r="C25" s="22"/>
      <c r="D25" s="22"/>
      <c r="E25" s="22"/>
      <c r="F25" s="22"/>
      <c r="G25" s="22"/>
      <c r="H25" s="22"/>
    </row>
    <row r="26" customFormat="false" ht="15" hidden="false" customHeight="true" outlineLevel="0" collapsed="false">
      <c r="A26" s="22"/>
      <c r="B26" s="22"/>
      <c r="C26" s="22"/>
      <c r="D26" s="22"/>
      <c r="E26" s="22"/>
      <c r="F26" s="22"/>
      <c r="G26" s="22"/>
      <c r="H26" s="22"/>
    </row>
    <row r="29" customFormat="false" ht="21.75" hidden="false" customHeight="true" outlineLevel="0" collapsed="false">
      <c r="A29" s="4" t="s">
        <v>213</v>
      </c>
      <c r="B29" s="4"/>
      <c r="C29" s="4"/>
      <c r="D29" s="4"/>
      <c r="E29" s="4"/>
      <c r="F29" s="4"/>
      <c r="G29" s="4"/>
      <c r="H29" s="4"/>
    </row>
    <row r="30" customFormat="false" ht="31.5" hidden="false" customHeight="true" outlineLevel="0" collapsed="false">
      <c r="A30" s="23" t="s">
        <v>214</v>
      </c>
      <c r="B30" s="24" t="s">
        <v>215</v>
      </c>
      <c r="C30" s="24"/>
      <c r="D30" s="24"/>
      <c r="E30" s="24"/>
      <c r="F30" s="24"/>
      <c r="G30" s="24"/>
      <c r="H30" s="24"/>
    </row>
    <row r="31" customFormat="false" ht="31.5" hidden="false" customHeight="true" outlineLevel="0" collapsed="false">
      <c r="A31" s="23" t="s">
        <v>216</v>
      </c>
      <c r="B31" s="24" t="s">
        <v>217</v>
      </c>
      <c r="C31" s="24"/>
      <c r="D31" s="24"/>
      <c r="E31" s="24"/>
      <c r="F31" s="24"/>
      <c r="G31" s="24"/>
      <c r="H31" s="24"/>
    </row>
    <row r="32" customFormat="false" ht="31.5" hidden="false" customHeight="true" outlineLevel="0" collapsed="false">
      <c r="A32" s="23" t="s">
        <v>218</v>
      </c>
      <c r="B32" s="24" t="s">
        <v>219</v>
      </c>
      <c r="C32" s="24"/>
      <c r="D32" s="24"/>
      <c r="E32" s="24"/>
      <c r="F32" s="24"/>
      <c r="G32" s="24"/>
      <c r="H32" s="24"/>
    </row>
    <row r="34" customFormat="false" ht="31.5" hidden="false" customHeight="true" outlineLevel="0" collapsed="false">
      <c r="A34" s="23" t="s">
        <v>214</v>
      </c>
      <c r="B34" s="24" t="s">
        <v>220</v>
      </c>
      <c r="C34" s="24"/>
      <c r="D34" s="24"/>
      <c r="E34" s="24"/>
      <c r="F34" s="24"/>
      <c r="G34" s="24"/>
      <c r="H34" s="24"/>
    </row>
    <row r="35" customFormat="false" ht="31.5" hidden="false" customHeight="true" outlineLevel="0" collapsed="false">
      <c r="A35" s="23" t="s">
        <v>216</v>
      </c>
      <c r="B35" s="24" t="s">
        <v>221</v>
      </c>
      <c r="C35" s="24"/>
      <c r="D35" s="24"/>
      <c r="E35" s="24"/>
      <c r="F35" s="24"/>
      <c r="G35" s="24"/>
      <c r="H35" s="24"/>
    </row>
    <row r="36" customFormat="false" ht="31.5" hidden="false" customHeight="true" outlineLevel="0" collapsed="false">
      <c r="A36" s="23" t="s">
        <v>218</v>
      </c>
      <c r="B36" s="24" t="s">
        <v>222</v>
      </c>
      <c r="C36" s="24"/>
      <c r="D36" s="24"/>
      <c r="E36" s="24"/>
      <c r="F36" s="24"/>
      <c r="G36" s="24"/>
      <c r="H36" s="24"/>
    </row>
    <row r="38" customFormat="false" ht="31.5" hidden="false" customHeight="true" outlineLevel="0" collapsed="false">
      <c r="A38" s="23" t="s">
        <v>214</v>
      </c>
      <c r="B38" s="24" t="s">
        <v>223</v>
      </c>
      <c r="C38" s="24"/>
      <c r="D38" s="24"/>
      <c r="E38" s="24"/>
      <c r="F38" s="24"/>
      <c r="G38" s="24"/>
      <c r="H38" s="24"/>
    </row>
    <row r="39" customFormat="false" ht="31.5" hidden="false" customHeight="true" outlineLevel="0" collapsed="false">
      <c r="A39" s="23" t="s">
        <v>216</v>
      </c>
      <c r="B39" s="24" t="s">
        <v>224</v>
      </c>
      <c r="C39" s="24"/>
      <c r="D39" s="24"/>
      <c r="E39" s="24"/>
      <c r="F39" s="24"/>
      <c r="G39" s="24"/>
      <c r="H39" s="24"/>
    </row>
    <row r="40" customFormat="false" ht="31.5" hidden="false" customHeight="true" outlineLevel="0" collapsed="false">
      <c r="A40" s="23" t="s">
        <v>218</v>
      </c>
      <c r="B40" s="24" t="s">
        <v>225</v>
      </c>
      <c r="C40" s="24"/>
      <c r="D40" s="24"/>
      <c r="E40" s="24"/>
      <c r="F40" s="24"/>
      <c r="G40" s="24"/>
      <c r="H40" s="24"/>
    </row>
    <row r="42" customFormat="false" ht="39.75" hidden="false" customHeight="true" outlineLevel="0" collapsed="false">
      <c r="A42" s="20" t="s">
        <v>226</v>
      </c>
      <c r="B42" s="21" t="s">
        <v>227</v>
      </c>
      <c r="C42" s="21"/>
      <c r="D42" s="21"/>
      <c r="E42" s="21"/>
      <c r="F42" s="21"/>
      <c r="G42" s="21"/>
      <c r="H42" s="21"/>
    </row>
    <row r="43" customFormat="false" ht="39.75" hidden="false" customHeight="true" outlineLevel="0" collapsed="false">
      <c r="A43" s="20" t="s">
        <v>228</v>
      </c>
      <c r="B43" s="21" t="s">
        <v>229</v>
      </c>
      <c r="C43" s="21"/>
      <c r="D43" s="21"/>
      <c r="E43" s="21"/>
      <c r="F43" s="21"/>
      <c r="G43" s="21"/>
      <c r="H43" s="21"/>
    </row>
    <row r="46" customFormat="false" ht="21.75" hidden="false" customHeight="true" outlineLevel="0" collapsed="false">
      <c r="A46" s="4" t="s">
        <v>230</v>
      </c>
      <c r="B46" s="4"/>
      <c r="C46" s="4"/>
      <c r="D46" s="4"/>
      <c r="E46" s="4"/>
      <c r="F46" s="4"/>
      <c r="G46" s="4"/>
      <c r="H46" s="4"/>
    </row>
    <row r="47" customFormat="false" ht="30" hidden="false" customHeight="true" outlineLevel="0" collapsed="false">
      <c r="A47" s="22" t="s">
        <v>231</v>
      </c>
      <c r="B47" s="22"/>
      <c r="C47" s="22"/>
      <c r="D47" s="22"/>
      <c r="E47" s="22"/>
      <c r="F47" s="22"/>
      <c r="G47" s="22"/>
      <c r="H47" s="22"/>
    </row>
    <row r="48" customFormat="false" ht="30" hidden="false" customHeight="true" outlineLevel="0" collapsed="false">
      <c r="A48" s="22" t="s">
        <v>232</v>
      </c>
      <c r="B48" s="22"/>
      <c r="C48" s="22"/>
      <c r="D48" s="22"/>
      <c r="E48" s="22"/>
      <c r="F48" s="22"/>
      <c r="G48" s="22"/>
      <c r="H48" s="22"/>
    </row>
    <row r="49" customFormat="false" ht="30" hidden="false" customHeight="true" outlineLevel="0" collapsed="false">
      <c r="A49" s="22" t="s">
        <v>233</v>
      </c>
      <c r="B49" s="22"/>
      <c r="C49" s="22"/>
      <c r="D49" s="22"/>
      <c r="E49" s="22"/>
      <c r="F49" s="22"/>
      <c r="G49" s="22"/>
      <c r="H49" s="22"/>
    </row>
    <row r="50" customFormat="false" ht="30" hidden="false" customHeight="true" outlineLevel="0" collapsed="false">
      <c r="A50" s="22" t="s">
        <v>234</v>
      </c>
      <c r="B50" s="22"/>
      <c r="C50" s="22"/>
      <c r="D50" s="22"/>
      <c r="E50" s="22"/>
      <c r="F50" s="22"/>
      <c r="G50" s="22"/>
      <c r="H50" s="22"/>
    </row>
    <row r="51" customFormat="false" ht="30" hidden="false" customHeight="true" outlineLevel="0" collapsed="false">
      <c r="A51" s="22" t="s">
        <v>235</v>
      </c>
      <c r="B51" s="22"/>
      <c r="C51" s="22"/>
      <c r="D51" s="22"/>
      <c r="E51" s="22"/>
      <c r="F51" s="22"/>
      <c r="G51" s="22"/>
      <c r="H51" s="22"/>
    </row>
    <row r="52" customFormat="false" ht="30" hidden="false" customHeight="true" outlineLevel="0" collapsed="false">
      <c r="A52" s="22" t="s">
        <v>236</v>
      </c>
      <c r="B52" s="22"/>
      <c r="C52" s="22"/>
      <c r="D52" s="22"/>
      <c r="E52" s="22"/>
      <c r="F52" s="22"/>
      <c r="G52" s="22"/>
      <c r="H52" s="22"/>
    </row>
    <row r="54" customFormat="false" ht="21.75" hidden="false" customHeight="true" outlineLevel="0" collapsed="false">
      <c r="A54" s="4" t="s">
        <v>237</v>
      </c>
      <c r="B54" s="4"/>
      <c r="C54" s="4"/>
      <c r="D54" s="4"/>
      <c r="E54" s="4"/>
      <c r="F54" s="4"/>
      <c r="G54" s="4"/>
      <c r="H54" s="4"/>
    </row>
    <row r="55" customFormat="false" ht="31.5" hidden="false" customHeight="true" outlineLevel="0" collapsed="false">
      <c r="A55" s="2" t="s">
        <v>238</v>
      </c>
      <c r="B55" s="2"/>
      <c r="C55" s="2"/>
      <c r="D55" s="2"/>
    </row>
    <row r="56" customFormat="false" ht="18" hidden="false" customHeight="true" outlineLevel="0" collapsed="false">
      <c r="A56" s="3" t="s">
        <v>239</v>
      </c>
      <c r="B56" s="3"/>
      <c r="C56" s="3"/>
      <c r="D56" s="3"/>
    </row>
    <row r="58" customFormat="false" ht="21.75" hidden="false" customHeight="true" outlineLevel="0" collapsed="false">
      <c r="A58" s="4" t="s">
        <v>240</v>
      </c>
      <c r="B58" s="4"/>
      <c r="C58" s="4"/>
      <c r="D58" s="4"/>
    </row>
    <row r="59" customFormat="false" ht="30" hidden="false" customHeight="true" outlineLevel="0" collapsed="false">
      <c r="A59" s="13" t="s">
        <v>148</v>
      </c>
      <c r="B59" s="13" t="s">
        <v>241</v>
      </c>
      <c r="C59" s="13" t="s">
        <v>242</v>
      </c>
      <c r="D59" s="13" t="s">
        <v>243</v>
      </c>
    </row>
    <row r="60" customFormat="false" ht="15" hidden="false" customHeight="true" outlineLevel="0" collapsed="false">
      <c r="A60" s="17" t="s">
        <v>244</v>
      </c>
      <c r="B60" s="17" t="n">
        <v>46</v>
      </c>
      <c r="C60" s="25" t="n">
        <f aca="false">B60/81</f>
        <v>0.567901234567901</v>
      </c>
      <c r="D60" s="7" t="s">
        <v>245</v>
      </c>
    </row>
    <row r="61" customFormat="false" ht="23.25" hidden="false" customHeight="true" outlineLevel="0" collapsed="false">
      <c r="A61" s="17" t="s">
        <v>163</v>
      </c>
      <c r="B61" s="17" t="n">
        <v>28</v>
      </c>
      <c r="C61" s="25" t="n">
        <f aca="false">B61/81</f>
        <v>0.345679012345679</v>
      </c>
      <c r="D61" s="7" t="s">
        <v>246</v>
      </c>
    </row>
    <row r="62" customFormat="false" ht="15" hidden="false" customHeight="true" outlineLevel="0" collapsed="false">
      <c r="A62" s="17" t="s">
        <v>177</v>
      </c>
      <c r="B62" s="17" t="n">
        <v>6</v>
      </c>
      <c r="C62" s="25" t="n">
        <f aca="false">B62/81</f>
        <v>0.0740740740740741</v>
      </c>
      <c r="D62" s="7" t="s">
        <v>247</v>
      </c>
    </row>
    <row r="63" customFormat="false" ht="15" hidden="false" customHeight="true" outlineLevel="0" collapsed="false">
      <c r="A63" s="17" t="s">
        <v>248</v>
      </c>
      <c r="B63" s="17" t="n">
        <v>1</v>
      </c>
      <c r="C63" s="25" t="n">
        <f aca="false">B63/81</f>
        <v>0.0123456790123457</v>
      </c>
      <c r="D63" s="7" t="s">
        <v>249</v>
      </c>
    </row>
    <row r="64" customFormat="false" ht="15" hidden="false" customHeight="true" outlineLevel="0" collapsed="false">
      <c r="A64" s="26" t="s">
        <v>250</v>
      </c>
      <c r="B64" s="26" t="n">
        <f aca="false">SUM(B60:B63)</f>
        <v>81</v>
      </c>
      <c r="C64" s="27" t="n">
        <f aca="false">B64/81</f>
        <v>1</v>
      </c>
      <c r="D64" s="28"/>
    </row>
    <row r="66" customFormat="false" ht="21.75" hidden="false" customHeight="true" outlineLevel="0" collapsed="false">
      <c r="A66" s="4" t="s">
        <v>251</v>
      </c>
      <c r="B66" s="4"/>
      <c r="C66" s="4"/>
      <c r="D66" s="4"/>
    </row>
    <row r="67" customFormat="false" ht="30" hidden="false" customHeight="true" outlineLevel="0" collapsed="false">
      <c r="A67" s="13" t="s">
        <v>252</v>
      </c>
      <c r="B67" s="13" t="s">
        <v>241</v>
      </c>
      <c r="C67" s="13" t="s">
        <v>253</v>
      </c>
      <c r="D67" s="13" t="s">
        <v>243</v>
      </c>
    </row>
    <row r="68" customFormat="false" ht="34.5" hidden="false" customHeight="true" outlineLevel="0" collapsed="false">
      <c r="A68" s="17" t="s">
        <v>254</v>
      </c>
      <c r="B68" s="17" t="n">
        <v>8</v>
      </c>
      <c r="C68" s="17" t="s">
        <v>255</v>
      </c>
      <c r="D68" s="7" t="s">
        <v>256</v>
      </c>
    </row>
    <row r="69" customFormat="false" ht="34.5" hidden="false" customHeight="true" outlineLevel="0" collapsed="false">
      <c r="A69" s="17" t="s">
        <v>257</v>
      </c>
      <c r="B69" s="17" t="n">
        <v>12</v>
      </c>
      <c r="C69" s="17" t="s">
        <v>255</v>
      </c>
      <c r="D69" s="7" t="s">
        <v>258</v>
      </c>
    </row>
    <row r="70" customFormat="false" ht="15" hidden="false" customHeight="true" outlineLevel="0" collapsed="false">
      <c r="A70" s="29" t="s">
        <v>259</v>
      </c>
      <c r="B70" s="29" t="n">
        <f aca="false">SUM(B68:B69)</f>
        <v>20</v>
      </c>
      <c r="C70" s="30"/>
      <c r="D70" s="30"/>
    </row>
    <row r="72" customFormat="false" ht="21.75" hidden="false" customHeight="true" outlineLevel="0" collapsed="false">
      <c r="A72" s="4" t="s">
        <v>260</v>
      </c>
      <c r="B72" s="4"/>
      <c r="C72" s="4"/>
      <c r="D72" s="4"/>
    </row>
    <row r="73" customFormat="false" ht="30" hidden="false" customHeight="true" outlineLevel="0" collapsed="false">
      <c r="A73" s="13" t="s">
        <v>261</v>
      </c>
      <c r="B73" s="13" t="s">
        <v>241</v>
      </c>
      <c r="C73" s="13"/>
      <c r="D73" s="13" t="s">
        <v>262</v>
      </c>
    </row>
    <row r="74" customFormat="false" ht="23.25" hidden="false" customHeight="true" outlineLevel="0" collapsed="false">
      <c r="A74" s="31" t="s">
        <v>263</v>
      </c>
      <c r="B74" s="31" t="n">
        <f aca="false">B64+B70</f>
        <v>101</v>
      </c>
      <c r="C74" s="31"/>
      <c r="D74" s="31" t="s">
        <v>264</v>
      </c>
    </row>
    <row r="75" customFormat="false" ht="34.5" hidden="false" customHeight="true" outlineLevel="0" collapsed="false">
      <c r="A75" s="31" t="s">
        <v>265</v>
      </c>
      <c r="B75" s="31" t="s">
        <v>266</v>
      </c>
      <c r="C75" s="31"/>
      <c r="D75" s="31" t="s">
        <v>267</v>
      </c>
    </row>
    <row r="78" customFormat="false" ht="21.75" hidden="false" customHeight="true" outlineLevel="0" collapsed="false">
      <c r="A78" s="4" t="s">
        <v>268</v>
      </c>
      <c r="B78" s="4"/>
      <c r="C78" s="4"/>
      <c r="D78" s="4"/>
    </row>
    <row r="79" customFormat="false" ht="30" hidden="false" customHeight="true" outlineLevel="0" collapsed="false">
      <c r="A79" s="13" t="s">
        <v>148</v>
      </c>
      <c r="B79" s="13" t="s">
        <v>241</v>
      </c>
      <c r="C79" s="13" t="s">
        <v>242</v>
      </c>
      <c r="D79" s="13" t="s">
        <v>243</v>
      </c>
    </row>
    <row r="80" customFormat="false" ht="23.25" hidden="false" customHeight="true" outlineLevel="0" collapsed="false">
      <c r="A80" s="17" t="s">
        <v>269</v>
      </c>
      <c r="B80" s="17" t="n">
        <v>32</v>
      </c>
      <c r="C80" s="25" t="n">
        <f aca="false">B80/69</f>
        <v>0.463768115942029</v>
      </c>
      <c r="D80" s="7" t="s">
        <v>270</v>
      </c>
    </row>
    <row r="81" customFormat="false" ht="23.25" hidden="false" customHeight="true" outlineLevel="0" collapsed="false">
      <c r="A81" s="17" t="s">
        <v>271</v>
      </c>
      <c r="B81" s="17" t="n">
        <v>19</v>
      </c>
      <c r="C81" s="25" t="n">
        <f aca="false">B81/69</f>
        <v>0.27536231884058</v>
      </c>
      <c r="D81" s="7" t="s">
        <v>272</v>
      </c>
    </row>
    <row r="82" customFormat="false" ht="15" hidden="false" customHeight="true" outlineLevel="0" collapsed="false">
      <c r="A82" s="17" t="s">
        <v>273</v>
      </c>
      <c r="B82" s="17" t="n">
        <v>7</v>
      </c>
      <c r="C82" s="25" t="n">
        <f aca="false">B82/69</f>
        <v>0.101449275362319</v>
      </c>
      <c r="D82" s="7"/>
    </row>
    <row r="83" customFormat="false" ht="15" hidden="false" customHeight="true" outlineLevel="0" collapsed="false">
      <c r="A83" s="17" t="s">
        <v>274</v>
      </c>
      <c r="B83" s="17" t="n">
        <v>4</v>
      </c>
      <c r="C83" s="25" t="n">
        <f aca="false">B83/69</f>
        <v>0.0579710144927536</v>
      </c>
      <c r="D83" s="7"/>
    </row>
    <row r="84" customFormat="false" ht="15" hidden="false" customHeight="true" outlineLevel="0" collapsed="false">
      <c r="A84" s="17" t="s">
        <v>275</v>
      </c>
      <c r="B84" s="17" t="n">
        <v>3</v>
      </c>
      <c r="C84" s="25" t="n">
        <f aca="false">B84/69</f>
        <v>0.0434782608695652</v>
      </c>
      <c r="D84" s="7"/>
    </row>
    <row r="85" customFormat="false" ht="15" hidden="false" customHeight="true" outlineLevel="0" collapsed="false">
      <c r="A85" s="17" t="s">
        <v>276</v>
      </c>
      <c r="B85" s="17" t="n">
        <v>1</v>
      </c>
      <c r="C85" s="25" t="n">
        <f aca="false">B85/69</f>
        <v>0.0144927536231884</v>
      </c>
      <c r="D85" s="7"/>
    </row>
    <row r="86" customFormat="false" ht="15" hidden="false" customHeight="true" outlineLevel="0" collapsed="false">
      <c r="A86" s="17" t="s">
        <v>277</v>
      </c>
      <c r="B86" s="17" t="n">
        <v>1</v>
      </c>
      <c r="C86" s="25" t="n">
        <f aca="false">B86/69</f>
        <v>0.0144927536231884</v>
      </c>
      <c r="D86" s="7"/>
    </row>
    <row r="87" customFormat="false" ht="15" hidden="false" customHeight="true" outlineLevel="0" collapsed="false">
      <c r="A87" s="17" t="s">
        <v>278</v>
      </c>
      <c r="B87" s="17" t="n">
        <v>1</v>
      </c>
      <c r="C87" s="25" t="n">
        <f aca="false">B87/69</f>
        <v>0.0144927536231884</v>
      </c>
      <c r="D87" s="7"/>
    </row>
    <row r="88" customFormat="false" ht="15" hidden="false" customHeight="true" outlineLevel="0" collapsed="false">
      <c r="A88" s="17" t="s">
        <v>279</v>
      </c>
      <c r="B88" s="17" t="n">
        <v>1</v>
      </c>
      <c r="C88" s="25" t="n">
        <f aca="false">B88/69</f>
        <v>0.0144927536231884</v>
      </c>
      <c r="D88" s="7" t="s">
        <v>280</v>
      </c>
    </row>
    <row r="89" customFormat="false" ht="15" hidden="false" customHeight="true" outlineLevel="0" collapsed="false">
      <c r="A89" s="26" t="s">
        <v>281</v>
      </c>
      <c r="B89" s="26" t="n">
        <f aca="false">SUM(B80:B88)</f>
        <v>69</v>
      </c>
      <c r="C89" s="28"/>
      <c r="D89" s="28"/>
    </row>
    <row r="91" customFormat="false" ht="15" hidden="false" customHeight="true" outlineLevel="0" collapsed="false">
      <c r="A91" s="32" t="s">
        <v>282</v>
      </c>
      <c r="B91" s="32"/>
      <c r="C91" s="32"/>
      <c r="D91" s="32"/>
    </row>
    <row r="92" customFormat="false" ht="15" hidden="false" customHeight="true" outlineLevel="0" collapsed="false">
      <c r="A92" s="32"/>
      <c r="B92" s="32"/>
      <c r="C92" s="32"/>
      <c r="D92" s="32"/>
    </row>
    <row r="93" customFormat="false" ht="15" hidden="false" customHeight="true" outlineLevel="0" collapsed="false">
      <c r="A93" s="32"/>
      <c r="B93" s="32"/>
      <c r="C93" s="32"/>
      <c r="D93" s="32"/>
    </row>
    <row r="94" customFormat="false" ht="15" hidden="false" customHeight="true" outlineLevel="0" collapsed="false">
      <c r="A94" s="32"/>
      <c r="B94" s="32"/>
      <c r="C94" s="32"/>
      <c r="D94" s="32"/>
    </row>
    <row r="96" customFormat="false" ht="21.75" hidden="false" customHeight="true" outlineLevel="0" collapsed="false">
      <c r="A96" s="4" t="s">
        <v>283</v>
      </c>
      <c r="B96" s="4"/>
      <c r="C96" s="4"/>
      <c r="D96" s="4"/>
      <c r="E96" s="4"/>
      <c r="F96" s="4"/>
      <c r="G96" s="4"/>
      <c r="H96" s="4"/>
    </row>
    <row r="97" customFormat="false" ht="31.5" hidden="false" customHeight="true" outlineLevel="0" collapsed="false">
      <c r="A97" s="2" t="s">
        <v>284</v>
      </c>
      <c r="B97" s="2"/>
      <c r="C97" s="2"/>
    </row>
    <row r="98" customFormat="false" ht="18" hidden="false" customHeight="true" outlineLevel="0" collapsed="false">
      <c r="A98" s="3" t="s">
        <v>285</v>
      </c>
      <c r="B98" s="3"/>
      <c r="C98" s="3"/>
    </row>
    <row r="100" customFormat="false" ht="21.75" hidden="false" customHeight="true" outlineLevel="0" collapsed="false">
      <c r="A100" s="4" t="s">
        <v>286</v>
      </c>
      <c r="B100" s="4"/>
      <c r="C100" s="4"/>
    </row>
    <row r="101" customFormat="false" ht="43.5" hidden="false" customHeight="true" outlineLevel="0" collapsed="false">
      <c r="A101" s="6" t="s">
        <v>287</v>
      </c>
      <c r="B101" s="7" t="s">
        <v>288</v>
      </c>
      <c r="C101" s="7"/>
    </row>
    <row r="102" customFormat="false" ht="43.5" hidden="false" customHeight="true" outlineLevel="0" collapsed="false">
      <c r="A102" s="6" t="s">
        <v>289</v>
      </c>
      <c r="B102" s="7" t="s">
        <v>290</v>
      </c>
      <c r="C102" s="7"/>
    </row>
    <row r="103" customFormat="false" ht="43.5" hidden="false" customHeight="true" outlineLevel="0" collapsed="false">
      <c r="A103" s="6" t="s">
        <v>291</v>
      </c>
      <c r="B103" s="7" t="s">
        <v>292</v>
      </c>
      <c r="C103" s="7"/>
    </row>
    <row r="104" customFormat="false" ht="43.5" hidden="false" customHeight="true" outlineLevel="0" collapsed="false">
      <c r="A104" s="6" t="s">
        <v>293</v>
      </c>
      <c r="B104" s="7" t="s">
        <v>294</v>
      </c>
      <c r="C104" s="7"/>
    </row>
    <row r="105" customFormat="false" ht="43.5" hidden="false" customHeight="true" outlineLevel="0" collapsed="false">
      <c r="A105" s="6" t="s">
        <v>295</v>
      </c>
      <c r="B105" s="7" t="s">
        <v>296</v>
      </c>
      <c r="C105" s="7"/>
    </row>
    <row r="107" customFormat="false" ht="21.75" hidden="false" customHeight="true" outlineLevel="0" collapsed="false">
      <c r="A107" s="4" t="s">
        <v>297</v>
      </c>
      <c r="B107" s="4"/>
      <c r="C107" s="4"/>
    </row>
    <row r="108" customFormat="false" ht="30" hidden="false" customHeight="true" outlineLevel="0" collapsed="false">
      <c r="A108" s="13" t="s">
        <v>298</v>
      </c>
      <c r="B108" s="13" t="s">
        <v>299</v>
      </c>
      <c r="C108" s="13" t="s">
        <v>300</v>
      </c>
    </row>
    <row r="109" customFormat="false" ht="39.75" hidden="false" customHeight="true" outlineLevel="0" collapsed="false">
      <c r="A109" s="17" t="s">
        <v>301</v>
      </c>
      <c r="B109" s="7" t="s">
        <v>302</v>
      </c>
      <c r="C109" s="7" t="s">
        <v>303</v>
      </c>
    </row>
    <row r="110" customFormat="false" ht="39.75" hidden="false" customHeight="true" outlineLevel="0" collapsed="false">
      <c r="A110" s="17" t="s">
        <v>304</v>
      </c>
      <c r="B110" s="7" t="s">
        <v>305</v>
      </c>
      <c r="C110" s="7" t="s">
        <v>306</v>
      </c>
    </row>
    <row r="111" customFormat="false" ht="39.75" hidden="false" customHeight="true" outlineLevel="0" collapsed="false">
      <c r="A111" s="17" t="s">
        <v>307</v>
      </c>
      <c r="B111" s="7" t="s">
        <v>308</v>
      </c>
      <c r="C111" s="7" t="s">
        <v>309</v>
      </c>
    </row>
    <row r="112" customFormat="false" ht="39.75" hidden="false" customHeight="true" outlineLevel="0" collapsed="false">
      <c r="A112" s="17" t="s">
        <v>310</v>
      </c>
      <c r="B112" s="7" t="s">
        <v>311</v>
      </c>
      <c r="C112" s="7" t="s">
        <v>312</v>
      </c>
    </row>
    <row r="114" customFormat="false" ht="21.75" hidden="false" customHeight="true" outlineLevel="0" collapsed="false">
      <c r="A114" s="4" t="s">
        <v>313</v>
      </c>
      <c r="B114" s="4"/>
      <c r="C114" s="4"/>
    </row>
    <row r="115" customFormat="false" ht="30" hidden="false" customHeight="true" outlineLevel="0" collapsed="false">
      <c r="A115" s="13" t="s">
        <v>314</v>
      </c>
      <c r="B115" s="13" t="s">
        <v>315</v>
      </c>
      <c r="C115" s="13" t="s">
        <v>316</v>
      </c>
    </row>
    <row r="116" customFormat="false" ht="45.75" hidden="false" customHeight="true" outlineLevel="0" collapsed="false">
      <c r="A116" s="17" t="s">
        <v>317</v>
      </c>
      <c r="B116" s="7" t="s">
        <v>318</v>
      </c>
      <c r="C116" s="7" t="s">
        <v>319</v>
      </c>
    </row>
    <row r="117" customFormat="false" ht="45.75" hidden="false" customHeight="true" outlineLevel="0" collapsed="false">
      <c r="A117" s="17" t="s">
        <v>320</v>
      </c>
      <c r="B117" s="7" t="s">
        <v>321</v>
      </c>
      <c r="C117" s="7" t="s">
        <v>322</v>
      </c>
    </row>
    <row r="118" customFormat="false" ht="45.75" hidden="false" customHeight="true" outlineLevel="0" collapsed="false">
      <c r="A118" s="17" t="s">
        <v>323</v>
      </c>
      <c r="B118" s="7" t="s">
        <v>324</v>
      </c>
      <c r="C118" s="7" t="s">
        <v>325</v>
      </c>
    </row>
    <row r="119" customFormat="false" ht="45.75" hidden="false" customHeight="true" outlineLevel="0" collapsed="false">
      <c r="A119" s="17" t="s">
        <v>326</v>
      </c>
      <c r="B119" s="7" t="s">
        <v>327</v>
      </c>
      <c r="C119" s="7" t="s">
        <v>328</v>
      </c>
    </row>
    <row r="120" customFormat="false" ht="45.75" hidden="false" customHeight="true" outlineLevel="0" collapsed="false">
      <c r="A120" s="17" t="s">
        <v>329</v>
      </c>
      <c r="B120" s="7" t="s">
        <v>330</v>
      </c>
      <c r="C120" s="7" t="s">
        <v>331</v>
      </c>
    </row>
    <row r="121" customFormat="false" ht="45.75" hidden="false" customHeight="true" outlineLevel="0" collapsed="false">
      <c r="A121" s="17" t="s">
        <v>332</v>
      </c>
      <c r="B121" s="7" t="s">
        <v>333</v>
      </c>
      <c r="C121" s="7" t="s">
        <v>334</v>
      </c>
    </row>
    <row r="123" customFormat="false" ht="21.75" hidden="false" customHeight="true" outlineLevel="0" collapsed="false">
      <c r="A123" s="4" t="s">
        <v>335</v>
      </c>
      <c r="B123" s="4"/>
      <c r="C123" s="4"/>
    </row>
    <row r="124" customFormat="false" ht="60" hidden="false" customHeight="true" outlineLevel="0" collapsed="false">
      <c r="A124" s="6" t="s">
        <v>336</v>
      </c>
      <c r="B124" s="7" t="s">
        <v>337</v>
      </c>
      <c r="C124" s="7"/>
    </row>
    <row r="125" customFormat="false" ht="60" hidden="false" customHeight="true" outlineLevel="0" collapsed="false">
      <c r="A125" s="6" t="s">
        <v>338</v>
      </c>
      <c r="B125" s="7" t="s">
        <v>339</v>
      </c>
      <c r="C125" s="7"/>
    </row>
    <row r="126" customFormat="false" ht="60" hidden="false" customHeight="true" outlineLevel="0" collapsed="false">
      <c r="A126" s="6" t="s">
        <v>340</v>
      </c>
      <c r="B126" s="7" t="s">
        <v>341</v>
      </c>
      <c r="C126" s="7"/>
    </row>
    <row r="127" customFormat="false" ht="60" hidden="false" customHeight="true" outlineLevel="0" collapsed="false">
      <c r="A127" s="6" t="s">
        <v>342</v>
      </c>
      <c r="B127" s="7" t="s">
        <v>343</v>
      </c>
      <c r="C127" s="7"/>
    </row>
    <row r="128" customFormat="false" ht="60" hidden="false" customHeight="true" outlineLevel="0" collapsed="false">
      <c r="A128" s="6" t="s">
        <v>344</v>
      </c>
      <c r="B128" s="7" t="s">
        <v>345</v>
      </c>
      <c r="C128" s="7"/>
    </row>
  </sheetData>
  <mergeCells count="55">
    <mergeCell ref="A1:H1"/>
    <mergeCell ref="A2:H2"/>
    <mergeCell ref="A4:H4"/>
    <mergeCell ref="A5:H5"/>
    <mergeCell ref="A6:H6"/>
    <mergeCell ref="A17:H17"/>
    <mergeCell ref="B18:H18"/>
    <mergeCell ref="B19:H19"/>
    <mergeCell ref="B20:H20"/>
    <mergeCell ref="B21:H21"/>
    <mergeCell ref="A23:H26"/>
    <mergeCell ref="A29:H29"/>
    <mergeCell ref="B30:H30"/>
    <mergeCell ref="B31:H31"/>
    <mergeCell ref="B32:H32"/>
    <mergeCell ref="B34:H34"/>
    <mergeCell ref="B35:H35"/>
    <mergeCell ref="B36:H36"/>
    <mergeCell ref="B38:H38"/>
    <mergeCell ref="B39:H39"/>
    <mergeCell ref="B40:H40"/>
    <mergeCell ref="B42:H42"/>
    <mergeCell ref="B43:H43"/>
    <mergeCell ref="A46:H46"/>
    <mergeCell ref="A47:H47"/>
    <mergeCell ref="A48:H48"/>
    <mergeCell ref="A49:H49"/>
    <mergeCell ref="A50:H50"/>
    <mergeCell ref="A51:H51"/>
    <mergeCell ref="A52:H52"/>
    <mergeCell ref="A54:H54"/>
    <mergeCell ref="A55:D55"/>
    <mergeCell ref="A56:D56"/>
    <mergeCell ref="A58:D58"/>
    <mergeCell ref="A66:D66"/>
    <mergeCell ref="A72:D72"/>
    <mergeCell ref="A78:D78"/>
    <mergeCell ref="A91:D94"/>
    <mergeCell ref="A96:H96"/>
    <mergeCell ref="A97:C97"/>
    <mergeCell ref="A98:C98"/>
    <mergeCell ref="A100:C100"/>
    <mergeCell ref="B101:C101"/>
    <mergeCell ref="B102:C102"/>
    <mergeCell ref="B103:C103"/>
    <mergeCell ref="B104:C104"/>
    <mergeCell ref="B105:C105"/>
    <mergeCell ref="A107:C107"/>
    <mergeCell ref="A114:C114"/>
    <mergeCell ref="A123:C123"/>
    <mergeCell ref="B124:C124"/>
    <mergeCell ref="B125:C125"/>
    <mergeCell ref="B126:C126"/>
    <mergeCell ref="B127:C127"/>
    <mergeCell ref="B128:C1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4"/>
    <col collapsed="false" customWidth="true" hidden="false" outlineLevel="0" max="3" min="3" style="1" width="16"/>
    <col collapsed="false" customWidth="true" hidden="false" outlineLevel="0" max="4" min="4" style="1" width="22"/>
    <col collapsed="false" customWidth="true" hidden="false" outlineLevel="0" max="5" min="5" style="1" width="14"/>
    <col collapsed="false" customWidth="true" hidden="false" outlineLevel="0" max="6" min="6" style="1" width="16"/>
    <col collapsed="false" customWidth="true" hidden="false" outlineLevel="0" max="7" min="7" style="1" width="46"/>
    <col collapsed="false" customWidth="true" hidden="false" outlineLevel="0" max="8" min="8" style="1" width="20"/>
  </cols>
  <sheetData>
    <row r="1" customFormat="false" ht="31.5" hidden="false" customHeight="true" outlineLevel="0" collapsed="false">
      <c r="A1" s="2" t="s">
        <v>346</v>
      </c>
      <c r="B1" s="2"/>
      <c r="C1" s="2"/>
      <c r="D1" s="2"/>
      <c r="E1" s="2"/>
      <c r="F1" s="2"/>
      <c r="G1" s="2"/>
      <c r="H1" s="2"/>
    </row>
    <row r="2" customFormat="false" ht="18" hidden="false" customHeight="true" outlineLevel="0" collapsed="false">
      <c r="A2" s="3" t="s">
        <v>347</v>
      </c>
      <c r="B2" s="3"/>
      <c r="C2" s="3"/>
      <c r="D2" s="3"/>
      <c r="E2" s="3"/>
      <c r="F2" s="3"/>
      <c r="G2" s="3"/>
      <c r="H2" s="3"/>
    </row>
    <row r="4" customFormat="false" ht="21.75" hidden="false" customHeight="true" outlineLevel="0" collapsed="false">
      <c r="A4" s="4" t="s">
        <v>348</v>
      </c>
      <c r="B4" s="4"/>
      <c r="C4" s="4"/>
      <c r="D4" s="4"/>
      <c r="E4" s="4"/>
      <c r="F4" s="4"/>
      <c r="G4" s="4"/>
      <c r="H4" s="4"/>
    </row>
    <row r="5" customFormat="false" ht="31.5" hidden="false" customHeight="true" outlineLevel="0" collapsed="false">
      <c r="A5" s="2" t="s">
        <v>349</v>
      </c>
      <c r="B5" s="2"/>
      <c r="C5" s="2"/>
      <c r="D5" s="2"/>
      <c r="E5" s="2"/>
      <c r="F5" s="2"/>
      <c r="G5" s="2"/>
    </row>
    <row r="6" customFormat="false" ht="18" hidden="false" customHeight="true" outlineLevel="0" collapsed="false">
      <c r="A6" s="3" t="s">
        <v>350</v>
      </c>
      <c r="B6" s="3"/>
      <c r="C6" s="3"/>
      <c r="D6" s="3"/>
      <c r="E6" s="3"/>
      <c r="F6" s="3"/>
      <c r="G6" s="3"/>
    </row>
    <row r="8" customFormat="false" ht="30" hidden="false" customHeight="true" outlineLevel="0" collapsed="false">
      <c r="A8" s="13" t="s">
        <v>351</v>
      </c>
      <c r="B8" s="13" t="s">
        <v>352</v>
      </c>
      <c r="C8" s="13" t="s">
        <v>353</v>
      </c>
      <c r="D8" s="13" t="s">
        <v>354</v>
      </c>
      <c r="E8" s="13" t="s">
        <v>355</v>
      </c>
      <c r="F8" s="13" t="s">
        <v>356</v>
      </c>
      <c r="G8" s="13" t="s">
        <v>357</v>
      </c>
    </row>
    <row r="9" customFormat="false" ht="57.75" hidden="false" customHeight="true" outlineLevel="0" collapsed="false">
      <c r="A9" s="26" t="s">
        <v>358</v>
      </c>
      <c r="B9" s="33" t="s">
        <v>359</v>
      </c>
      <c r="C9" s="34" t="n">
        <v>81</v>
      </c>
      <c r="D9" s="31" t="s">
        <v>360</v>
      </c>
      <c r="E9" s="35" t="n">
        <v>69</v>
      </c>
      <c r="F9" s="34" t="n">
        <f aca="false">C5+E5</f>
        <v>0</v>
      </c>
      <c r="G9" s="36" t="s">
        <v>361</v>
      </c>
    </row>
    <row r="10" customFormat="false" ht="57.75" hidden="false" customHeight="true" outlineLevel="0" collapsed="false">
      <c r="A10" s="8" t="s">
        <v>362</v>
      </c>
      <c r="B10" s="37" t="s">
        <v>363</v>
      </c>
      <c r="C10" s="38" t="n">
        <v>236</v>
      </c>
      <c r="D10" s="39" t="s">
        <v>364</v>
      </c>
      <c r="E10" s="40" t="n">
        <v>261</v>
      </c>
      <c r="F10" s="38" t="n">
        <f aca="false">C6+E6</f>
        <v>0</v>
      </c>
      <c r="G10" s="41" t="s">
        <v>365</v>
      </c>
    </row>
    <row r="11" customFormat="false" ht="57.75" hidden="false" customHeight="true" outlineLevel="0" collapsed="false">
      <c r="A11" s="8" t="s">
        <v>366</v>
      </c>
      <c r="B11" s="37" t="s">
        <v>367</v>
      </c>
      <c r="C11" s="38" t="n">
        <v>1202</v>
      </c>
      <c r="D11" s="39" t="s">
        <v>368</v>
      </c>
      <c r="E11" s="40" t="s">
        <v>182</v>
      </c>
      <c r="F11" s="38" t="n">
        <f aca="false">C7</f>
        <v>0</v>
      </c>
      <c r="G11" s="41" t="s">
        <v>369</v>
      </c>
    </row>
    <row r="12" customFormat="false" ht="57.75" hidden="false" customHeight="true" outlineLevel="0" collapsed="false">
      <c r="A12" s="8" t="s">
        <v>370</v>
      </c>
      <c r="B12" s="37" t="s">
        <v>371</v>
      </c>
      <c r="C12" s="38" t="n">
        <v>24</v>
      </c>
      <c r="D12" s="39" t="s">
        <v>372</v>
      </c>
      <c r="E12" s="40" t="s">
        <v>182</v>
      </c>
      <c r="F12" s="38" t="str">
        <f aca="false">C8</f>
        <v>Cookware SKUs</v>
      </c>
      <c r="G12" s="41" t="s">
        <v>373</v>
      </c>
    </row>
    <row r="13" customFormat="false" ht="57.75" hidden="false" customHeight="true" outlineLevel="0" collapsed="false">
      <c r="A13" s="10" t="s">
        <v>374</v>
      </c>
      <c r="B13" s="42" t="s">
        <v>375</v>
      </c>
      <c r="C13" s="43" t="n">
        <v>237</v>
      </c>
      <c r="D13" s="20" t="s">
        <v>376</v>
      </c>
      <c r="E13" s="44" t="s">
        <v>182</v>
      </c>
      <c r="F13" s="43" t="n">
        <f aca="false">C9</f>
        <v>81</v>
      </c>
      <c r="G13" s="45" t="s">
        <v>377</v>
      </c>
    </row>
    <row r="14" customFormat="false" ht="57.75" hidden="false" customHeight="true" outlineLevel="0" collapsed="false">
      <c r="A14" s="10" t="s">
        <v>378</v>
      </c>
      <c r="B14" s="42" t="s">
        <v>375</v>
      </c>
      <c r="C14" s="43" t="n">
        <v>89</v>
      </c>
      <c r="D14" s="20" t="s">
        <v>379</v>
      </c>
      <c r="E14" s="44" t="s">
        <v>182</v>
      </c>
      <c r="F14" s="43" t="n">
        <f aca="false">C10</f>
        <v>236</v>
      </c>
      <c r="G14" s="45" t="s">
        <v>380</v>
      </c>
    </row>
    <row r="15" customFormat="false" ht="57.75" hidden="false" customHeight="true" outlineLevel="0" collapsed="false">
      <c r="A15" s="10" t="s">
        <v>381</v>
      </c>
      <c r="B15" s="42" t="s">
        <v>375</v>
      </c>
      <c r="C15" s="43" t="n">
        <v>25</v>
      </c>
      <c r="D15" s="20" t="s">
        <v>382</v>
      </c>
      <c r="E15" s="44" t="s">
        <v>182</v>
      </c>
      <c r="F15" s="43" t="n">
        <f aca="false">C11</f>
        <v>1202</v>
      </c>
      <c r="G15" s="45" t="s">
        <v>383</v>
      </c>
    </row>
    <row r="16" customFormat="false" ht="57.75" hidden="false" customHeight="true" outlineLevel="0" collapsed="false">
      <c r="A16" s="10" t="s">
        <v>384</v>
      </c>
      <c r="B16" s="42" t="s">
        <v>375</v>
      </c>
      <c r="C16" s="43" t="n">
        <v>116</v>
      </c>
      <c r="D16" s="20" t="s">
        <v>385</v>
      </c>
      <c r="E16" s="44" t="s">
        <v>182</v>
      </c>
      <c r="F16" s="43" t="n">
        <f aca="false">C12</f>
        <v>24</v>
      </c>
      <c r="G16" s="45" t="s">
        <v>386</v>
      </c>
    </row>
    <row r="17" customFormat="false" ht="57.75" hidden="false" customHeight="true" outlineLevel="0" collapsed="false">
      <c r="A17" s="10" t="s">
        <v>387</v>
      </c>
      <c r="B17" s="42" t="s">
        <v>375</v>
      </c>
      <c r="C17" s="43" t="n">
        <v>165</v>
      </c>
      <c r="D17" s="20" t="s">
        <v>388</v>
      </c>
      <c r="E17" s="44" t="s">
        <v>182</v>
      </c>
      <c r="F17" s="43" t="n">
        <f aca="false">C13</f>
        <v>237</v>
      </c>
      <c r="G17" s="45" t="s">
        <v>389</v>
      </c>
    </row>
    <row r="18" customFormat="false" ht="57.75" hidden="false" customHeight="true" outlineLevel="0" collapsed="false">
      <c r="A18" s="10" t="s">
        <v>390</v>
      </c>
      <c r="B18" s="42" t="s">
        <v>391</v>
      </c>
      <c r="C18" s="43" t="n">
        <v>42</v>
      </c>
      <c r="D18" s="20" t="s">
        <v>392</v>
      </c>
      <c r="E18" s="44" t="s">
        <v>182</v>
      </c>
      <c r="F18" s="43" t="n">
        <f aca="false">C14</f>
        <v>89</v>
      </c>
      <c r="G18" s="45" t="s">
        <v>393</v>
      </c>
    </row>
    <row r="20" customFormat="false" ht="15" hidden="false" customHeight="true" outlineLevel="0" collapsed="false">
      <c r="A20" s="16" t="s">
        <v>394</v>
      </c>
    </row>
    <row r="21" customFormat="false" ht="15" hidden="false" customHeight="true" outlineLevel="0" collapsed="false">
      <c r="A21" s="46" t="s">
        <v>395</v>
      </c>
      <c r="B21" s="47" t="s">
        <v>396</v>
      </c>
    </row>
    <row r="22" customFormat="false" ht="15" hidden="false" customHeight="true" outlineLevel="0" collapsed="false">
      <c r="A22" s="48" t="s">
        <v>395</v>
      </c>
      <c r="B22" s="47" t="s">
        <v>397</v>
      </c>
    </row>
    <row r="23" customFormat="false" ht="15" hidden="false" customHeight="true" outlineLevel="0" collapsed="false">
      <c r="A23" s="49" t="s">
        <v>395</v>
      </c>
      <c r="B23" s="47" t="s">
        <v>398</v>
      </c>
    </row>
    <row r="25" customFormat="false" ht="15" hidden="false" customHeight="true" outlineLevel="0" collapsed="false">
      <c r="A25" s="22" t="s">
        <v>399</v>
      </c>
      <c r="B25" s="22"/>
      <c r="C25" s="22"/>
      <c r="D25" s="22"/>
      <c r="E25" s="22"/>
      <c r="F25" s="22"/>
      <c r="G25" s="22"/>
    </row>
    <row r="26" customFormat="false" ht="15" hidden="false" customHeight="true" outlineLevel="0" collapsed="false">
      <c r="A26" s="22"/>
      <c r="B26" s="22"/>
      <c r="C26" s="22"/>
      <c r="D26" s="22"/>
      <c r="E26" s="22"/>
      <c r="F26" s="22"/>
      <c r="G26" s="22"/>
    </row>
    <row r="27" customFormat="false" ht="15" hidden="false" customHeight="true" outlineLevel="0" collapsed="false">
      <c r="A27" s="22"/>
      <c r="B27" s="22"/>
      <c r="C27" s="22"/>
      <c r="D27" s="22"/>
      <c r="E27" s="22"/>
      <c r="F27" s="22"/>
      <c r="G27" s="22"/>
    </row>
    <row r="29" customFormat="false" ht="21.75" hidden="false" customHeight="true" outlineLevel="0" collapsed="false">
      <c r="A29" s="4" t="s">
        <v>400</v>
      </c>
      <c r="B29" s="4"/>
      <c r="C29" s="4"/>
      <c r="D29" s="4"/>
      <c r="E29" s="4"/>
      <c r="F29" s="4"/>
      <c r="G29" s="4"/>
      <c r="H29" s="4"/>
    </row>
    <row r="30" customFormat="false" ht="31.5" hidden="false" customHeight="true" outlineLevel="0" collapsed="false">
      <c r="A30" s="2" t="s">
        <v>401</v>
      </c>
      <c r="B30" s="2"/>
      <c r="C30" s="2"/>
      <c r="D30" s="2"/>
      <c r="E30" s="2"/>
    </row>
    <row r="31" customFormat="false" ht="18" hidden="false" customHeight="true" outlineLevel="0" collapsed="false">
      <c r="A31" s="3" t="s">
        <v>402</v>
      </c>
      <c r="B31" s="3"/>
      <c r="C31" s="3"/>
      <c r="D31" s="3"/>
      <c r="E31" s="3"/>
    </row>
    <row r="33" customFormat="false" ht="30" hidden="false" customHeight="true" outlineLevel="0" collapsed="false">
      <c r="A33" s="13" t="s">
        <v>351</v>
      </c>
      <c r="B33" s="13" t="s">
        <v>148</v>
      </c>
      <c r="C33" s="13" t="s">
        <v>241</v>
      </c>
      <c r="D33" s="13" t="s">
        <v>403</v>
      </c>
      <c r="E33" s="13" t="s">
        <v>404</v>
      </c>
    </row>
    <row r="34" customFormat="false" ht="15" hidden="false" customHeight="true" outlineLevel="0" collapsed="false">
      <c r="A34" s="50" t="s">
        <v>374</v>
      </c>
      <c r="B34" s="17" t="s">
        <v>405</v>
      </c>
      <c r="C34" s="51" t="n">
        <v>54</v>
      </c>
      <c r="D34" s="52" t="n">
        <v>237</v>
      </c>
      <c r="E34" s="53" t="s">
        <v>406</v>
      </c>
    </row>
    <row r="35" customFormat="false" ht="15" hidden="false" customHeight="true" outlineLevel="0" collapsed="false">
      <c r="A35" s="50"/>
      <c r="B35" s="17" t="s">
        <v>407</v>
      </c>
      <c r="C35" s="51" t="n">
        <v>35</v>
      </c>
      <c r="D35" s="52"/>
      <c r="E35" s="52"/>
    </row>
    <row r="36" customFormat="false" ht="15" hidden="false" customHeight="true" outlineLevel="0" collapsed="false">
      <c r="A36" s="50"/>
      <c r="B36" s="17" t="s">
        <v>408</v>
      </c>
      <c r="C36" s="51" t="n">
        <v>17</v>
      </c>
      <c r="D36" s="52"/>
      <c r="E36" s="52"/>
    </row>
    <row r="37" customFormat="false" ht="15" hidden="false" customHeight="true" outlineLevel="0" collapsed="false">
      <c r="A37" s="50"/>
      <c r="B37" s="17" t="s">
        <v>409</v>
      </c>
      <c r="C37" s="51" t="n">
        <v>14</v>
      </c>
      <c r="D37" s="52"/>
      <c r="E37" s="52"/>
    </row>
    <row r="38" customFormat="false" ht="15" hidden="false" customHeight="true" outlineLevel="0" collapsed="false">
      <c r="A38" s="50"/>
      <c r="B38" s="17" t="s">
        <v>410</v>
      </c>
      <c r="C38" s="51" t="n">
        <v>13</v>
      </c>
      <c r="D38" s="52"/>
      <c r="E38" s="52"/>
    </row>
    <row r="39" customFormat="false" ht="15" hidden="false" customHeight="true" outlineLevel="0" collapsed="false">
      <c r="A39" s="50"/>
      <c r="B39" s="17" t="s">
        <v>411</v>
      </c>
      <c r="C39" s="51" t="n">
        <v>11</v>
      </c>
      <c r="D39" s="52"/>
      <c r="E39" s="52"/>
    </row>
    <row r="40" customFormat="false" ht="15" hidden="false" customHeight="true" outlineLevel="0" collapsed="false">
      <c r="A40" s="50"/>
      <c r="B40" s="17" t="s">
        <v>412</v>
      </c>
      <c r="C40" s="51" t="n">
        <v>10</v>
      </c>
      <c r="D40" s="52"/>
      <c r="E40" s="52"/>
    </row>
    <row r="41" customFormat="false" ht="15" hidden="false" customHeight="true" outlineLevel="0" collapsed="false">
      <c r="A41" s="50"/>
      <c r="B41" s="17" t="s">
        <v>413</v>
      </c>
      <c r="C41" s="51" t="n">
        <v>6</v>
      </c>
      <c r="D41" s="52"/>
      <c r="E41" s="52"/>
    </row>
    <row r="42" customFormat="false" ht="15" hidden="false" customHeight="true" outlineLevel="0" collapsed="false">
      <c r="A42" s="50"/>
      <c r="B42" s="17" t="s">
        <v>414</v>
      </c>
      <c r="C42" s="51" t="n">
        <v>6</v>
      </c>
      <c r="D42" s="52"/>
      <c r="E42" s="52"/>
    </row>
    <row r="43" customFormat="false" ht="15" hidden="false" customHeight="true" outlineLevel="0" collapsed="false">
      <c r="A43" s="50"/>
      <c r="B43" s="17" t="s">
        <v>415</v>
      </c>
      <c r="C43" s="51" t="n">
        <v>2</v>
      </c>
      <c r="D43" s="52"/>
      <c r="E43" s="52"/>
    </row>
    <row r="45" customFormat="false" ht="15" hidden="false" customHeight="true" outlineLevel="0" collapsed="false">
      <c r="A45" s="50" t="s">
        <v>378</v>
      </c>
      <c r="B45" s="17" t="s">
        <v>416</v>
      </c>
      <c r="C45" s="51" t="n">
        <v>13</v>
      </c>
      <c r="D45" s="52" t="n">
        <v>89</v>
      </c>
      <c r="E45" s="53" t="s">
        <v>417</v>
      </c>
    </row>
    <row r="46" customFormat="false" ht="15" hidden="false" customHeight="true" outlineLevel="0" collapsed="false">
      <c r="A46" s="50"/>
      <c r="B46" s="17" t="s">
        <v>418</v>
      </c>
      <c r="C46" s="51" t="n">
        <v>13</v>
      </c>
      <c r="D46" s="52"/>
      <c r="E46" s="52"/>
    </row>
    <row r="47" customFormat="false" ht="15" hidden="false" customHeight="true" outlineLevel="0" collapsed="false">
      <c r="A47" s="50"/>
      <c r="B47" s="17" t="s">
        <v>405</v>
      </c>
      <c r="C47" s="51" t="n">
        <v>12</v>
      </c>
      <c r="D47" s="52"/>
      <c r="E47" s="52"/>
    </row>
    <row r="48" customFormat="false" ht="15" hidden="false" customHeight="true" outlineLevel="0" collapsed="false">
      <c r="A48" s="50"/>
      <c r="B48" s="17" t="s">
        <v>407</v>
      </c>
      <c r="C48" s="51" t="n">
        <v>12</v>
      </c>
      <c r="D48" s="52"/>
      <c r="E48" s="52"/>
    </row>
    <row r="49" customFormat="false" ht="15" hidden="false" customHeight="true" outlineLevel="0" collapsed="false">
      <c r="A49" s="50"/>
      <c r="B49" s="17" t="s">
        <v>419</v>
      </c>
      <c r="C49" s="51" t="n">
        <v>10</v>
      </c>
      <c r="D49" s="52"/>
      <c r="E49" s="52"/>
    </row>
    <row r="50" customFormat="false" ht="15" hidden="false" customHeight="true" outlineLevel="0" collapsed="false">
      <c r="A50" s="50"/>
      <c r="B50" s="17" t="s">
        <v>409</v>
      </c>
      <c r="C50" s="51" t="n">
        <v>4</v>
      </c>
      <c r="D50" s="52"/>
      <c r="E50" s="52"/>
    </row>
    <row r="51" customFormat="false" ht="15" hidden="false" customHeight="true" outlineLevel="0" collapsed="false">
      <c r="A51" s="50"/>
      <c r="B51" s="17" t="s">
        <v>410</v>
      </c>
      <c r="C51" s="51" t="n">
        <v>3</v>
      </c>
      <c r="D51" s="52"/>
      <c r="E51" s="52"/>
    </row>
    <row r="52" customFormat="false" ht="15" hidden="false" customHeight="true" outlineLevel="0" collapsed="false">
      <c r="A52" s="50"/>
      <c r="B52" s="17" t="s">
        <v>413</v>
      </c>
      <c r="C52" s="51" t="n">
        <v>2</v>
      </c>
      <c r="D52" s="52"/>
      <c r="E52" s="52"/>
    </row>
    <row r="53" customFormat="false" ht="23.25" hidden="false" customHeight="true" outlineLevel="0" collapsed="false">
      <c r="A53" s="50"/>
      <c r="B53" s="17" t="s">
        <v>420</v>
      </c>
      <c r="C53" s="51" t="n">
        <v>2</v>
      </c>
      <c r="D53" s="52"/>
      <c r="E53" s="52"/>
    </row>
    <row r="54" customFormat="false" ht="15" hidden="false" customHeight="true" outlineLevel="0" collapsed="false">
      <c r="A54" s="50"/>
      <c r="B54" s="17" t="s">
        <v>421</v>
      </c>
      <c r="C54" s="51" t="n">
        <v>1</v>
      </c>
      <c r="D54" s="52"/>
      <c r="E54" s="52"/>
    </row>
    <row r="55" customFormat="false" ht="15" hidden="false" customHeight="true" outlineLevel="0" collapsed="false">
      <c r="A55" s="50"/>
      <c r="B55" s="17" t="s">
        <v>422</v>
      </c>
      <c r="C55" s="51" t="n">
        <v>1</v>
      </c>
      <c r="D55" s="52"/>
      <c r="E55" s="52"/>
    </row>
    <row r="56" customFormat="false" ht="15" hidden="false" customHeight="true" outlineLevel="0" collapsed="false">
      <c r="A56" s="50"/>
      <c r="B56" s="17" t="s">
        <v>423</v>
      </c>
      <c r="C56" s="51" t="n">
        <v>1</v>
      </c>
      <c r="D56" s="52"/>
      <c r="E56" s="52"/>
    </row>
    <row r="57" customFormat="false" ht="15" hidden="false" customHeight="true" outlineLevel="0" collapsed="false">
      <c r="A57" s="50"/>
      <c r="B57" s="17" t="s">
        <v>424</v>
      </c>
      <c r="C57" s="51" t="n">
        <v>1</v>
      </c>
      <c r="D57" s="52"/>
      <c r="E57" s="52"/>
    </row>
    <row r="58" customFormat="false" ht="15" hidden="false" customHeight="true" outlineLevel="0" collapsed="false">
      <c r="A58" s="50"/>
      <c r="B58" s="17" t="s">
        <v>425</v>
      </c>
      <c r="C58" s="51" t="n">
        <v>1</v>
      </c>
      <c r="D58" s="52"/>
      <c r="E58" s="52"/>
    </row>
    <row r="59" customFormat="false" ht="15" hidden="false" customHeight="true" outlineLevel="0" collapsed="false">
      <c r="A59" s="50"/>
      <c r="B59" s="17" t="s">
        <v>426</v>
      </c>
      <c r="C59" s="51" t="n">
        <v>2</v>
      </c>
      <c r="D59" s="52"/>
      <c r="E59" s="52"/>
    </row>
    <row r="61" customFormat="false" ht="15" hidden="false" customHeight="true" outlineLevel="0" collapsed="false">
      <c r="A61" s="50" t="s">
        <v>427</v>
      </c>
      <c r="B61" s="17" t="s">
        <v>428</v>
      </c>
      <c r="C61" s="51" t="s">
        <v>429</v>
      </c>
      <c r="D61" s="52" t="n">
        <v>25</v>
      </c>
      <c r="E61" s="53" t="s">
        <v>430</v>
      </c>
    </row>
    <row r="62" customFormat="false" ht="15" hidden="false" customHeight="true" outlineLevel="0" collapsed="false">
      <c r="A62" s="50"/>
      <c r="B62" s="17" t="s">
        <v>431</v>
      </c>
      <c r="C62" s="51" t="s">
        <v>429</v>
      </c>
      <c r="D62" s="52"/>
      <c r="E62" s="52"/>
    </row>
    <row r="63" customFormat="false" ht="15" hidden="false" customHeight="true" outlineLevel="0" collapsed="false">
      <c r="A63" s="50"/>
      <c r="B63" s="17" t="s">
        <v>432</v>
      </c>
      <c r="C63" s="51" t="s">
        <v>429</v>
      </c>
      <c r="D63" s="52"/>
      <c r="E63" s="52"/>
    </row>
    <row r="64" customFormat="false" ht="23.25" hidden="false" customHeight="true" outlineLevel="0" collapsed="false">
      <c r="A64" s="50"/>
      <c r="B64" s="17" t="s">
        <v>433</v>
      </c>
      <c r="C64" s="51" t="n">
        <v>25</v>
      </c>
      <c r="D64" s="52"/>
      <c r="E64" s="52"/>
    </row>
    <row r="66" customFormat="false" ht="15" hidden="false" customHeight="true" outlineLevel="0" collapsed="false">
      <c r="A66" s="50" t="s">
        <v>434</v>
      </c>
      <c r="B66" s="17" t="s">
        <v>412</v>
      </c>
      <c r="C66" s="51" t="s">
        <v>429</v>
      </c>
      <c r="D66" s="52" t="n">
        <v>236</v>
      </c>
      <c r="E66" s="53" t="s">
        <v>435</v>
      </c>
    </row>
    <row r="67" customFormat="false" ht="15" hidden="false" customHeight="true" outlineLevel="0" collapsed="false">
      <c r="A67" s="50"/>
      <c r="B67" s="17" t="s">
        <v>436</v>
      </c>
      <c r="C67" s="51" t="s">
        <v>429</v>
      </c>
      <c r="D67" s="52"/>
      <c r="E67" s="52"/>
    </row>
    <row r="68" customFormat="false" ht="15" hidden="false" customHeight="true" outlineLevel="0" collapsed="false">
      <c r="A68" s="50"/>
      <c r="B68" s="17" t="s">
        <v>437</v>
      </c>
      <c r="C68" s="51" t="s">
        <v>429</v>
      </c>
      <c r="D68" s="52"/>
      <c r="E68" s="52"/>
    </row>
    <row r="69" customFormat="false" ht="15" hidden="false" customHeight="true" outlineLevel="0" collapsed="false">
      <c r="A69" s="50"/>
      <c r="B69" s="17" t="s">
        <v>438</v>
      </c>
      <c r="C69" s="51" t="s">
        <v>429</v>
      </c>
      <c r="D69" s="52"/>
      <c r="E69" s="52"/>
    </row>
    <row r="70" customFormat="false" ht="15" hidden="false" customHeight="true" outlineLevel="0" collapsed="false">
      <c r="A70" s="50"/>
      <c r="B70" s="17" t="s">
        <v>88</v>
      </c>
      <c r="C70" s="51" t="s">
        <v>429</v>
      </c>
      <c r="D70" s="52"/>
      <c r="E70" s="52"/>
    </row>
    <row r="71" customFormat="false" ht="15" hidden="false" customHeight="true" outlineLevel="0" collapsed="false">
      <c r="A71" s="50"/>
      <c r="B71" s="17" t="s">
        <v>439</v>
      </c>
      <c r="C71" s="51" t="s">
        <v>429</v>
      </c>
      <c r="D71" s="52"/>
      <c r="E71" s="52"/>
    </row>
    <row r="72" customFormat="false" ht="15" hidden="false" customHeight="true" outlineLevel="0" collapsed="false">
      <c r="A72" s="50"/>
      <c r="B72" s="17" t="s">
        <v>440</v>
      </c>
      <c r="C72" s="51" t="s">
        <v>429</v>
      </c>
      <c r="D72" s="52"/>
      <c r="E72" s="52"/>
    </row>
    <row r="73" customFormat="false" ht="15" hidden="false" customHeight="true" outlineLevel="0" collapsed="false">
      <c r="A73" s="50"/>
      <c r="B73" s="17" t="s">
        <v>441</v>
      </c>
      <c r="C73" s="51" t="s">
        <v>429</v>
      </c>
      <c r="D73" s="52"/>
      <c r="E73" s="52"/>
    </row>
    <row r="74" customFormat="false" ht="15" hidden="false" customHeight="true" outlineLevel="0" collapsed="false">
      <c r="A74" s="50"/>
      <c r="B74" s="17" t="s">
        <v>442</v>
      </c>
      <c r="C74" s="51" t="s">
        <v>429</v>
      </c>
      <c r="D74" s="52"/>
      <c r="E74" s="52"/>
    </row>
    <row r="75" customFormat="false" ht="23.25" hidden="false" customHeight="true" outlineLevel="0" collapsed="false">
      <c r="A75" s="50"/>
      <c r="B75" s="17" t="s">
        <v>443</v>
      </c>
      <c r="C75" s="51" t="n">
        <v>236</v>
      </c>
      <c r="D75" s="52"/>
      <c r="E75" s="52"/>
    </row>
    <row r="77" customFormat="false" ht="15" hidden="false" customHeight="true" outlineLevel="0" collapsed="false">
      <c r="A77" s="50" t="s">
        <v>444</v>
      </c>
      <c r="B77" s="17" t="s">
        <v>441</v>
      </c>
      <c r="C77" s="51" t="s">
        <v>429</v>
      </c>
      <c r="D77" s="52" t="n">
        <v>261</v>
      </c>
      <c r="E77" s="53" t="s">
        <v>445</v>
      </c>
    </row>
    <row r="78" customFormat="false" ht="15" hidden="false" customHeight="true" outlineLevel="0" collapsed="false">
      <c r="A78" s="50"/>
      <c r="B78" s="17" t="s">
        <v>446</v>
      </c>
      <c r="C78" s="51" t="s">
        <v>429</v>
      </c>
      <c r="D78" s="52"/>
      <c r="E78" s="52"/>
    </row>
    <row r="79" customFormat="false" ht="15" hidden="false" customHeight="true" outlineLevel="0" collapsed="false">
      <c r="A79" s="50"/>
      <c r="B79" s="17" t="s">
        <v>447</v>
      </c>
      <c r="C79" s="51" t="s">
        <v>429</v>
      </c>
      <c r="D79" s="52"/>
      <c r="E79" s="52"/>
    </row>
    <row r="80" customFormat="false" ht="15" hidden="false" customHeight="true" outlineLevel="0" collapsed="false">
      <c r="A80" s="50"/>
      <c r="B80" s="17" t="s">
        <v>448</v>
      </c>
      <c r="C80" s="51" t="s">
        <v>429</v>
      </c>
      <c r="D80" s="52"/>
      <c r="E80" s="52"/>
    </row>
    <row r="81" customFormat="false" ht="15" hidden="false" customHeight="true" outlineLevel="0" collapsed="false">
      <c r="A81" s="50"/>
      <c r="B81" s="17" t="s">
        <v>449</v>
      </c>
      <c r="C81" s="51" t="s">
        <v>429</v>
      </c>
      <c r="D81" s="52"/>
      <c r="E81" s="52"/>
    </row>
    <row r="82" customFormat="false" ht="15" hidden="false" customHeight="true" outlineLevel="0" collapsed="false">
      <c r="A82" s="50"/>
      <c r="B82" s="17" t="s">
        <v>450</v>
      </c>
      <c r="C82" s="51" t="s">
        <v>429</v>
      </c>
      <c r="D82" s="52"/>
      <c r="E82" s="52"/>
    </row>
    <row r="83" customFormat="false" ht="15" hidden="false" customHeight="true" outlineLevel="0" collapsed="false">
      <c r="A83" s="50"/>
      <c r="B83" s="17" t="s">
        <v>451</v>
      </c>
      <c r="C83" s="51" t="s">
        <v>429</v>
      </c>
      <c r="D83" s="52"/>
      <c r="E83" s="52"/>
    </row>
    <row r="84" customFormat="false" ht="15" hidden="false" customHeight="true" outlineLevel="0" collapsed="false">
      <c r="A84" s="50"/>
      <c r="B84" s="17" t="s">
        <v>452</v>
      </c>
      <c r="C84" s="51" t="s">
        <v>429</v>
      </c>
      <c r="D84" s="52"/>
      <c r="E84" s="52"/>
    </row>
    <row r="85" customFormat="false" ht="15" hidden="false" customHeight="true" outlineLevel="0" collapsed="false">
      <c r="A85" s="50"/>
      <c r="B85" s="17" t="s">
        <v>453</v>
      </c>
      <c r="C85" s="51" t="s">
        <v>429</v>
      </c>
      <c r="D85" s="52"/>
      <c r="E85" s="52"/>
    </row>
    <row r="86" customFormat="false" ht="15" hidden="false" customHeight="true" outlineLevel="0" collapsed="false">
      <c r="A86" s="50"/>
      <c r="B86" s="17" t="s">
        <v>454</v>
      </c>
      <c r="C86" s="51" t="s">
        <v>429</v>
      </c>
      <c r="D86" s="52"/>
      <c r="E86" s="52"/>
    </row>
    <row r="87" customFormat="false" ht="23.25" hidden="false" customHeight="true" outlineLevel="0" collapsed="false">
      <c r="A87" s="50"/>
      <c r="B87" s="17" t="s">
        <v>455</v>
      </c>
      <c r="C87" s="51" t="n">
        <v>261</v>
      </c>
      <c r="D87" s="52"/>
      <c r="E87" s="52"/>
    </row>
    <row r="89" customFormat="false" ht="15" hidden="false" customHeight="true" outlineLevel="0" collapsed="false">
      <c r="A89" s="50" t="s">
        <v>384</v>
      </c>
      <c r="B89" s="17" t="s">
        <v>440</v>
      </c>
      <c r="C89" s="51" t="s">
        <v>429</v>
      </c>
      <c r="D89" s="52" t="n">
        <v>116</v>
      </c>
      <c r="E89" s="53" t="s">
        <v>456</v>
      </c>
    </row>
    <row r="90" customFormat="false" ht="15" hidden="false" customHeight="true" outlineLevel="0" collapsed="false">
      <c r="A90" s="50"/>
      <c r="B90" s="17" t="s">
        <v>419</v>
      </c>
      <c r="C90" s="51" t="s">
        <v>429</v>
      </c>
      <c r="D90" s="52"/>
      <c r="E90" s="52"/>
    </row>
    <row r="91" customFormat="false" ht="15" hidden="false" customHeight="true" outlineLevel="0" collapsed="false">
      <c r="A91" s="50"/>
      <c r="B91" s="17" t="s">
        <v>457</v>
      </c>
      <c r="C91" s="51" t="s">
        <v>429</v>
      </c>
      <c r="D91" s="52"/>
      <c r="E91" s="52"/>
    </row>
    <row r="92" customFormat="false" ht="15" hidden="false" customHeight="true" outlineLevel="0" collapsed="false">
      <c r="A92" s="50"/>
      <c r="B92" s="17" t="s">
        <v>458</v>
      </c>
      <c r="C92" s="51" t="s">
        <v>429</v>
      </c>
      <c r="D92" s="52"/>
      <c r="E92" s="52"/>
    </row>
    <row r="93" customFormat="false" ht="15" hidden="false" customHeight="true" outlineLevel="0" collapsed="false">
      <c r="A93" s="50"/>
      <c r="B93" s="17" t="s">
        <v>413</v>
      </c>
      <c r="C93" s="51" t="s">
        <v>429</v>
      </c>
      <c r="D93" s="52"/>
      <c r="E93" s="52"/>
    </row>
    <row r="94" customFormat="false" ht="15" hidden="false" customHeight="true" outlineLevel="0" collapsed="false">
      <c r="A94" s="50"/>
      <c r="B94" s="17" t="s">
        <v>449</v>
      </c>
      <c r="C94" s="51" t="s">
        <v>429</v>
      </c>
      <c r="D94" s="52"/>
      <c r="E94" s="52"/>
    </row>
    <row r="95" customFormat="false" ht="15" hidden="false" customHeight="true" outlineLevel="0" collapsed="false">
      <c r="A95" s="50"/>
      <c r="B95" s="17" t="s">
        <v>459</v>
      </c>
      <c r="C95" s="51" t="s">
        <v>429</v>
      </c>
      <c r="D95" s="52"/>
      <c r="E95" s="52"/>
    </row>
    <row r="96" customFormat="false" ht="15" hidden="false" customHeight="true" outlineLevel="0" collapsed="false">
      <c r="A96" s="50"/>
      <c r="B96" s="17" t="s">
        <v>460</v>
      </c>
      <c r="C96" s="51" t="s">
        <v>429</v>
      </c>
      <c r="D96" s="52"/>
      <c r="E96" s="52"/>
    </row>
    <row r="97" customFormat="false" ht="15" hidden="false" customHeight="true" outlineLevel="0" collapsed="false">
      <c r="A97" s="50"/>
      <c r="B97" s="17" t="s">
        <v>461</v>
      </c>
      <c r="C97" s="51" t="s">
        <v>429</v>
      </c>
      <c r="D97" s="52"/>
      <c r="E97" s="52"/>
    </row>
    <row r="98" customFormat="false" ht="15" hidden="false" customHeight="true" outlineLevel="0" collapsed="false">
      <c r="A98" s="50"/>
      <c r="B98" s="17" t="s">
        <v>462</v>
      </c>
      <c r="C98" s="51" t="s">
        <v>429</v>
      </c>
      <c r="D98" s="52"/>
      <c r="E98" s="52"/>
    </row>
    <row r="99" customFormat="false" ht="15" hidden="false" customHeight="true" outlineLevel="0" collapsed="false">
      <c r="A99" s="50"/>
      <c r="B99" s="17" t="s">
        <v>463</v>
      </c>
      <c r="C99" s="51" t="s">
        <v>429</v>
      </c>
      <c r="D99" s="52"/>
      <c r="E99" s="52"/>
    </row>
    <row r="100" customFormat="false" ht="15" hidden="false" customHeight="true" outlineLevel="0" collapsed="false">
      <c r="A100" s="50"/>
      <c r="B100" s="17" t="s">
        <v>464</v>
      </c>
      <c r="C100" s="51" t="s">
        <v>429</v>
      </c>
      <c r="D100" s="52"/>
      <c r="E100" s="52"/>
    </row>
    <row r="101" customFormat="false" ht="15" hidden="false" customHeight="true" outlineLevel="0" collapsed="false">
      <c r="A101" s="50"/>
      <c r="B101" s="17" t="s">
        <v>465</v>
      </c>
      <c r="C101" s="51" t="s">
        <v>429</v>
      </c>
      <c r="D101" s="52"/>
      <c r="E101" s="52"/>
    </row>
    <row r="102" customFormat="false" ht="15" hidden="false" customHeight="true" outlineLevel="0" collapsed="false">
      <c r="A102" s="50"/>
      <c r="B102" s="17" t="s">
        <v>423</v>
      </c>
      <c r="C102" s="51" t="s">
        <v>429</v>
      </c>
      <c r="D102" s="52"/>
      <c r="E102" s="52"/>
    </row>
    <row r="103" customFormat="false" ht="23.25" hidden="false" customHeight="true" outlineLevel="0" collapsed="false">
      <c r="A103" s="50"/>
      <c r="B103" s="17" t="s">
        <v>466</v>
      </c>
      <c r="C103" s="51" t="n">
        <v>116</v>
      </c>
      <c r="D103" s="52"/>
      <c r="E103" s="52"/>
    </row>
    <row r="105" customFormat="false" ht="15" hidden="false" customHeight="true" outlineLevel="0" collapsed="false">
      <c r="A105" s="50" t="s">
        <v>387</v>
      </c>
      <c r="B105" s="17" t="s">
        <v>416</v>
      </c>
      <c r="C105" s="51" t="s">
        <v>429</v>
      </c>
      <c r="D105" s="52" t="n">
        <v>165</v>
      </c>
      <c r="E105" s="53" t="s">
        <v>467</v>
      </c>
    </row>
    <row r="106" customFormat="false" ht="15" hidden="false" customHeight="true" outlineLevel="0" collapsed="false">
      <c r="A106" s="50"/>
      <c r="B106" s="17" t="s">
        <v>468</v>
      </c>
      <c r="C106" s="51" t="s">
        <v>429</v>
      </c>
      <c r="D106" s="52"/>
      <c r="E106" s="52"/>
    </row>
    <row r="107" customFormat="false" ht="15" hidden="false" customHeight="true" outlineLevel="0" collapsed="false">
      <c r="A107" s="50"/>
      <c r="B107" s="17" t="s">
        <v>469</v>
      </c>
      <c r="C107" s="51" t="s">
        <v>429</v>
      </c>
      <c r="D107" s="52"/>
      <c r="E107" s="52"/>
    </row>
    <row r="108" customFormat="false" ht="15" hidden="false" customHeight="true" outlineLevel="0" collapsed="false">
      <c r="A108" s="50"/>
      <c r="B108" s="17" t="s">
        <v>458</v>
      </c>
      <c r="C108" s="51" t="s">
        <v>429</v>
      </c>
      <c r="D108" s="52"/>
      <c r="E108" s="52"/>
    </row>
    <row r="109" customFormat="false" ht="15" hidden="false" customHeight="true" outlineLevel="0" collapsed="false">
      <c r="A109" s="50"/>
      <c r="B109" s="17" t="s">
        <v>419</v>
      </c>
      <c r="C109" s="51" t="s">
        <v>429</v>
      </c>
      <c r="D109" s="52"/>
      <c r="E109" s="52"/>
    </row>
    <row r="110" customFormat="false" ht="15" hidden="false" customHeight="true" outlineLevel="0" collapsed="false">
      <c r="A110" s="50"/>
      <c r="B110" s="17" t="s">
        <v>470</v>
      </c>
      <c r="C110" s="51" t="s">
        <v>429</v>
      </c>
      <c r="D110" s="52"/>
      <c r="E110" s="52"/>
    </row>
    <row r="111" customFormat="false" ht="15" hidden="false" customHeight="true" outlineLevel="0" collapsed="false">
      <c r="A111" s="50"/>
      <c r="B111" s="17" t="s">
        <v>471</v>
      </c>
      <c r="C111" s="51" t="s">
        <v>429</v>
      </c>
      <c r="D111" s="52"/>
      <c r="E111" s="52"/>
    </row>
    <row r="112" customFormat="false" ht="15" hidden="false" customHeight="true" outlineLevel="0" collapsed="false">
      <c r="A112" s="50"/>
      <c r="B112" s="17" t="s">
        <v>418</v>
      </c>
      <c r="C112" s="51" t="s">
        <v>429</v>
      </c>
      <c r="D112" s="52"/>
      <c r="E112" s="52"/>
    </row>
    <row r="113" customFormat="false" ht="15" hidden="false" customHeight="true" outlineLevel="0" collapsed="false">
      <c r="A113" s="50"/>
      <c r="B113" s="17" t="s">
        <v>472</v>
      </c>
      <c r="C113" s="51" t="n">
        <v>165</v>
      </c>
      <c r="D113" s="52"/>
      <c r="E113" s="52"/>
    </row>
    <row r="115" customFormat="false" ht="15" hidden="false" customHeight="true" outlineLevel="0" collapsed="false">
      <c r="A115" s="50" t="s">
        <v>473</v>
      </c>
      <c r="B115" s="17" t="s">
        <v>474</v>
      </c>
      <c r="C115" s="51" t="s">
        <v>429</v>
      </c>
      <c r="D115" s="52" t="n">
        <v>1202</v>
      </c>
      <c r="E115" s="53" t="s">
        <v>475</v>
      </c>
    </row>
    <row r="116" customFormat="false" ht="15" hidden="false" customHeight="true" outlineLevel="0" collapsed="false">
      <c r="A116" s="50"/>
      <c r="B116" s="17" t="s">
        <v>476</v>
      </c>
      <c r="C116" s="51" t="s">
        <v>429</v>
      </c>
      <c r="D116" s="52"/>
      <c r="E116" s="52"/>
    </row>
    <row r="117" customFormat="false" ht="15" hidden="false" customHeight="true" outlineLevel="0" collapsed="false">
      <c r="A117" s="50"/>
      <c r="B117" s="17" t="s">
        <v>419</v>
      </c>
      <c r="C117" s="51" t="s">
        <v>429</v>
      </c>
      <c r="D117" s="52"/>
      <c r="E117" s="52"/>
    </row>
    <row r="118" customFormat="false" ht="15" hidden="false" customHeight="true" outlineLevel="0" collapsed="false">
      <c r="A118" s="50"/>
      <c r="B118" s="17" t="s">
        <v>477</v>
      </c>
      <c r="C118" s="51" t="s">
        <v>429</v>
      </c>
      <c r="D118" s="52"/>
      <c r="E118" s="52"/>
    </row>
    <row r="119" customFormat="false" ht="15" hidden="false" customHeight="true" outlineLevel="0" collapsed="false">
      <c r="A119" s="50"/>
      <c r="B119" s="17" t="s">
        <v>478</v>
      </c>
      <c r="C119" s="51" t="s">
        <v>429</v>
      </c>
      <c r="D119" s="52"/>
      <c r="E119" s="52"/>
    </row>
    <row r="120" customFormat="false" ht="15" hidden="false" customHeight="true" outlineLevel="0" collapsed="false">
      <c r="A120" s="50"/>
      <c r="B120" s="17" t="s">
        <v>479</v>
      </c>
      <c r="C120" s="51" t="s">
        <v>429</v>
      </c>
      <c r="D120" s="52"/>
      <c r="E120" s="52"/>
    </row>
    <row r="121" customFormat="false" ht="15" hidden="false" customHeight="true" outlineLevel="0" collapsed="false">
      <c r="A121" s="50"/>
      <c r="B121" s="17" t="s">
        <v>480</v>
      </c>
      <c r="C121" s="51" t="s">
        <v>429</v>
      </c>
      <c r="D121" s="52"/>
      <c r="E121" s="52"/>
    </row>
    <row r="122" customFormat="false" ht="15" hidden="false" customHeight="true" outlineLevel="0" collapsed="false">
      <c r="A122" s="50"/>
      <c r="B122" s="17" t="s">
        <v>481</v>
      </c>
      <c r="C122" s="51" t="s">
        <v>429</v>
      </c>
      <c r="D122" s="52"/>
      <c r="E122" s="52"/>
    </row>
    <row r="123" customFormat="false" ht="15" hidden="false" customHeight="true" outlineLevel="0" collapsed="false">
      <c r="A123" s="50"/>
      <c r="B123" s="17" t="s">
        <v>482</v>
      </c>
      <c r="C123" s="51" t="s">
        <v>429</v>
      </c>
      <c r="D123" s="52"/>
      <c r="E123" s="52"/>
    </row>
    <row r="124" customFormat="false" ht="15" hidden="false" customHeight="true" outlineLevel="0" collapsed="false">
      <c r="A124" s="50"/>
      <c r="B124" s="17" t="s">
        <v>483</v>
      </c>
      <c r="C124" s="51" t="s">
        <v>429</v>
      </c>
      <c r="D124" s="52"/>
      <c r="E124" s="52"/>
    </row>
    <row r="125" customFormat="false" ht="23.25" hidden="false" customHeight="true" outlineLevel="0" collapsed="false">
      <c r="A125" s="50"/>
      <c r="B125" s="17" t="s">
        <v>484</v>
      </c>
      <c r="C125" s="51" t="n">
        <v>1202</v>
      </c>
      <c r="D125" s="52"/>
      <c r="E125" s="52"/>
    </row>
    <row r="127" customFormat="false" ht="15" hidden="false" customHeight="true" outlineLevel="0" collapsed="false">
      <c r="A127" s="50" t="s">
        <v>485</v>
      </c>
      <c r="B127" s="17" t="s">
        <v>486</v>
      </c>
      <c r="C127" s="51" t="s">
        <v>429</v>
      </c>
      <c r="D127" s="52" t="n">
        <v>24</v>
      </c>
      <c r="E127" s="53" t="s">
        <v>487</v>
      </c>
    </row>
    <row r="128" customFormat="false" ht="15" hidden="false" customHeight="true" outlineLevel="0" collapsed="false">
      <c r="A128" s="50"/>
      <c r="B128" s="17" t="s">
        <v>488</v>
      </c>
      <c r="C128" s="51" t="s">
        <v>429</v>
      </c>
      <c r="D128" s="52"/>
      <c r="E128" s="52"/>
    </row>
    <row r="129" customFormat="false" ht="15" hidden="false" customHeight="true" outlineLevel="0" collapsed="false">
      <c r="A129" s="50"/>
      <c r="B129" s="17" t="s">
        <v>489</v>
      </c>
      <c r="C129" s="51" t="s">
        <v>429</v>
      </c>
      <c r="D129" s="52"/>
      <c r="E129" s="52"/>
    </row>
    <row r="130" customFormat="false" ht="15" hidden="false" customHeight="true" outlineLevel="0" collapsed="false">
      <c r="A130" s="50"/>
      <c r="B130" s="17" t="s">
        <v>490</v>
      </c>
      <c r="C130" s="51" t="s">
        <v>429</v>
      </c>
      <c r="D130" s="52"/>
      <c r="E130" s="52"/>
    </row>
    <row r="131" customFormat="false" ht="15" hidden="false" customHeight="true" outlineLevel="0" collapsed="false">
      <c r="A131" s="50"/>
      <c r="B131" s="17" t="s">
        <v>491</v>
      </c>
      <c r="C131" s="51" t="s">
        <v>429</v>
      </c>
      <c r="D131" s="52"/>
      <c r="E131" s="52"/>
    </row>
    <row r="132" customFormat="false" ht="15" hidden="false" customHeight="true" outlineLevel="0" collapsed="false">
      <c r="A132" s="50"/>
      <c r="B132" s="17" t="s">
        <v>492</v>
      </c>
      <c r="C132" s="51" t="s">
        <v>429</v>
      </c>
      <c r="D132" s="52"/>
      <c r="E132" s="52"/>
    </row>
    <row r="133" customFormat="false" ht="15" hidden="false" customHeight="true" outlineLevel="0" collapsed="false">
      <c r="A133" s="50"/>
      <c r="B133" s="17" t="s">
        <v>493</v>
      </c>
      <c r="C133" s="51" t="s">
        <v>429</v>
      </c>
      <c r="D133" s="52"/>
      <c r="E133" s="52"/>
    </row>
    <row r="134" customFormat="false" ht="15" hidden="false" customHeight="true" outlineLevel="0" collapsed="false">
      <c r="A134" s="50"/>
      <c r="B134" s="17" t="s">
        <v>494</v>
      </c>
      <c r="C134" s="51" t="s">
        <v>429</v>
      </c>
      <c r="D134" s="52"/>
      <c r="E134" s="52"/>
    </row>
    <row r="135" customFormat="false" ht="23.25" hidden="false" customHeight="true" outlineLevel="0" collapsed="false">
      <c r="A135" s="50"/>
      <c r="B135" s="17" t="s">
        <v>495</v>
      </c>
      <c r="C135" s="51" t="n">
        <v>24</v>
      </c>
      <c r="D135" s="52"/>
      <c r="E135" s="52"/>
    </row>
    <row r="137" customFormat="false" ht="23.25" hidden="false" customHeight="true" outlineLevel="0" collapsed="false">
      <c r="A137" s="50" t="s">
        <v>496</v>
      </c>
      <c r="B137" s="17" t="s">
        <v>497</v>
      </c>
      <c r="C137" s="51" t="s">
        <v>429</v>
      </c>
      <c r="D137" s="52" t="n">
        <v>42</v>
      </c>
      <c r="E137" s="53" t="s">
        <v>498</v>
      </c>
    </row>
    <row r="138" customFormat="false" ht="15" hidden="false" customHeight="true" outlineLevel="0" collapsed="false">
      <c r="A138" s="50"/>
      <c r="B138" s="17" t="s">
        <v>499</v>
      </c>
      <c r="C138" s="51" t="s">
        <v>429</v>
      </c>
      <c r="D138" s="52"/>
      <c r="E138" s="52"/>
    </row>
    <row r="139" customFormat="false" ht="15" hidden="false" customHeight="true" outlineLevel="0" collapsed="false">
      <c r="A139" s="50"/>
      <c r="B139" s="17" t="s">
        <v>500</v>
      </c>
      <c r="C139" s="51" t="s">
        <v>429</v>
      </c>
      <c r="D139" s="52"/>
      <c r="E139" s="52"/>
    </row>
    <row r="140" customFormat="false" ht="15" hidden="false" customHeight="true" outlineLevel="0" collapsed="false">
      <c r="A140" s="50"/>
      <c r="B140" s="17" t="s">
        <v>501</v>
      </c>
      <c r="C140" s="51" t="s">
        <v>429</v>
      </c>
      <c r="D140" s="52"/>
      <c r="E140" s="52"/>
    </row>
    <row r="141" customFormat="false" ht="23.25" hidden="false" customHeight="true" outlineLevel="0" collapsed="false">
      <c r="A141" s="50"/>
      <c r="B141" s="17" t="s">
        <v>502</v>
      </c>
      <c r="C141" s="51" t="s">
        <v>429</v>
      </c>
      <c r="D141" s="52"/>
      <c r="E141" s="52"/>
    </row>
    <row r="142" customFormat="false" ht="15" hidden="false" customHeight="true" outlineLevel="0" collapsed="false">
      <c r="A142" s="50"/>
      <c r="B142" s="17" t="s">
        <v>423</v>
      </c>
      <c r="C142" s="51" t="s">
        <v>429</v>
      </c>
      <c r="D142" s="52"/>
      <c r="E142" s="52"/>
    </row>
    <row r="143" customFormat="false" ht="15" hidden="false" customHeight="true" outlineLevel="0" collapsed="false">
      <c r="A143" s="50"/>
      <c r="B143" s="17" t="s">
        <v>503</v>
      </c>
      <c r="C143" s="51" t="s">
        <v>429</v>
      </c>
      <c r="D143" s="52"/>
      <c r="E143" s="52"/>
    </row>
    <row r="144" customFormat="false" ht="15" hidden="false" customHeight="true" outlineLevel="0" collapsed="false">
      <c r="A144" s="50"/>
      <c r="B144" s="17" t="s">
        <v>504</v>
      </c>
      <c r="C144" s="51" t="s">
        <v>429</v>
      </c>
      <c r="D144" s="52"/>
      <c r="E144" s="52"/>
    </row>
    <row r="145" customFormat="false" ht="23.25" hidden="false" customHeight="true" outlineLevel="0" collapsed="false">
      <c r="A145" s="50"/>
      <c r="B145" s="17" t="s">
        <v>505</v>
      </c>
      <c r="C145" s="51" t="s">
        <v>429</v>
      </c>
      <c r="D145" s="52"/>
      <c r="E145" s="52"/>
    </row>
    <row r="146" customFormat="false" ht="23.25" hidden="false" customHeight="true" outlineLevel="0" collapsed="false">
      <c r="A146" s="50"/>
      <c r="B146" s="17" t="s">
        <v>506</v>
      </c>
      <c r="C146" s="51" t="n">
        <v>42</v>
      </c>
      <c r="D146" s="52"/>
      <c r="E146" s="52"/>
    </row>
    <row r="148" customFormat="false" ht="21.75" hidden="false" customHeight="true" outlineLevel="0" collapsed="false">
      <c r="A148" s="4" t="s">
        <v>507</v>
      </c>
      <c r="B148" s="4"/>
      <c r="C148" s="4"/>
      <c r="D148" s="4"/>
      <c r="E148" s="4"/>
      <c r="F148" s="4"/>
      <c r="G148" s="4"/>
      <c r="H148" s="4"/>
    </row>
    <row r="149" customFormat="false" ht="31.5" hidden="false" customHeight="true" outlineLevel="0" collapsed="false">
      <c r="A149" s="2" t="s">
        <v>508</v>
      </c>
      <c r="B149" s="2"/>
      <c r="C149" s="2"/>
      <c r="D149" s="2"/>
      <c r="E149" s="2"/>
    </row>
    <row r="150" customFormat="false" ht="18" hidden="false" customHeight="true" outlineLevel="0" collapsed="false">
      <c r="A150" s="3" t="s">
        <v>509</v>
      </c>
      <c r="B150" s="3"/>
      <c r="C150" s="3"/>
      <c r="D150" s="3"/>
      <c r="E150" s="3"/>
    </row>
    <row r="152" customFormat="false" ht="30" hidden="false" customHeight="true" outlineLevel="0" collapsed="false">
      <c r="A152" s="13" t="s">
        <v>351</v>
      </c>
      <c r="B152" s="13" t="s">
        <v>510</v>
      </c>
      <c r="C152" s="13" t="s">
        <v>511</v>
      </c>
      <c r="D152" s="13" t="s">
        <v>512</v>
      </c>
      <c r="E152" s="13" t="s">
        <v>513</v>
      </c>
    </row>
    <row r="153" customFormat="false" ht="49.5" hidden="false" customHeight="true" outlineLevel="0" collapsed="false">
      <c r="A153" s="17" t="s">
        <v>362</v>
      </c>
      <c r="B153" s="17" t="s">
        <v>514</v>
      </c>
      <c r="C153" s="17" t="s">
        <v>515</v>
      </c>
      <c r="D153" s="7" t="s">
        <v>516</v>
      </c>
      <c r="E153" s="17" t="s">
        <v>517</v>
      </c>
    </row>
    <row r="154" customFormat="false" ht="49.5" hidden="false" customHeight="true" outlineLevel="0" collapsed="false">
      <c r="A154" s="17" t="s">
        <v>370</v>
      </c>
      <c r="B154" s="17" t="s">
        <v>518</v>
      </c>
      <c r="C154" s="17" t="s">
        <v>519</v>
      </c>
      <c r="D154" s="7" t="s">
        <v>520</v>
      </c>
      <c r="E154" s="17" t="s">
        <v>521</v>
      </c>
    </row>
    <row r="155" customFormat="false" ht="49.5" hidden="false" customHeight="true" outlineLevel="0" collapsed="false">
      <c r="A155" s="17" t="s">
        <v>366</v>
      </c>
      <c r="B155" s="17" t="s">
        <v>522</v>
      </c>
      <c r="C155" s="17" t="s">
        <v>523</v>
      </c>
      <c r="D155" s="7" t="s">
        <v>524</v>
      </c>
      <c r="E155" s="17" t="s">
        <v>525</v>
      </c>
    </row>
    <row r="156" customFormat="false" ht="49.5" hidden="false" customHeight="true" outlineLevel="0" collapsed="false">
      <c r="A156" s="17" t="s">
        <v>526</v>
      </c>
      <c r="B156" s="17" t="s">
        <v>527</v>
      </c>
      <c r="C156" s="17" t="s">
        <v>527</v>
      </c>
      <c r="D156" s="7" t="s">
        <v>528</v>
      </c>
      <c r="E156" s="17" t="s">
        <v>529</v>
      </c>
    </row>
    <row r="157" customFormat="false" ht="49.5" hidden="false" customHeight="true" outlineLevel="0" collapsed="false">
      <c r="A157" s="17" t="s">
        <v>530</v>
      </c>
      <c r="B157" s="17" t="s">
        <v>531</v>
      </c>
      <c r="C157" s="17" t="s">
        <v>527</v>
      </c>
      <c r="D157" s="7" t="s">
        <v>532</v>
      </c>
      <c r="E157" s="17" t="s">
        <v>533</v>
      </c>
    </row>
    <row r="158" customFormat="false" ht="49.5" hidden="false" customHeight="true" outlineLevel="0" collapsed="false">
      <c r="A158" s="17" t="s">
        <v>534</v>
      </c>
      <c r="B158" s="17" t="s">
        <v>535</v>
      </c>
      <c r="C158" s="17" t="s">
        <v>536</v>
      </c>
      <c r="D158" s="7" t="s">
        <v>537</v>
      </c>
      <c r="E158" s="17" t="s">
        <v>538</v>
      </c>
    </row>
    <row r="160" customFormat="false" ht="21.75" hidden="false" customHeight="true" outlineLevel="0" collapsed="false">
      <c r="A160" s="4" t="s">
        <v>539</v>
      </c>
      <c r="B160" s="4"/>
      <c r="C160" s="4"/>
      <c r="D160" s="4"/>
      <c r="E160" s="4"/>
    </row>
    <row r="161" customFormat="false" ht="36" hidden="false" customHeight="true" outlineLevel="0" collapsed="false">
      <c r="A161" s="6" t="s">
        <v>540</v>
      </c>
      <c r="B161" s="7" t="s">
        <v>541</v>
      </c>
      <c r="C161" s="7"/>
      <c r="D161" s="7"/>
      <c r="E161" s="7"/>
    </row>
    <row r="162" customFormat="false" ht="36" hidden="false" customHeight="true" outlineLevel="0" collapsed="false">
      <c r="A162" s="6" t="s">
        <v>542</v>
      </c>
      <c r="B162" s="7" t="s">
        <v>543</v>
      </c>
      <c r="C162" s="7"/>
      <c r="D162" s="7"/>
      <c r="E162" s="7"/>
    </row>
    <row r="163" customFormat="false" ht="36" hidden="false" customHeight="true" outlineLevel="0" collapsed="false">
      <c r="A163" s="6" t="s">
        <v>544</v>
      </c>
      <c r="B163" s="7" t="s">
        <v>545</v>
      </c>
      <c r="C163" s="7"/>
      <c r="D163" s="7"/>
      <c r="E163" s="7"/>
    </row>
    <row r="164" customFormat="false" ht="36" hidden="false" customHeight="true" outlineLevel="0" collapsed="false">
      <c r="A164" s="6" t="s">
        <v>546</v>
      </c>
      <c r="B164" s="7" t="s">
        <v>547</v>
      </c>
      <c r="C164" s="7"/>
      <c r="D164" s="7"/>
      <c r="E164" s="7"/>
    </row>
    <row r="165" customFormat="false" ht="36" hidden="false" customHeight="true" outlineLevel="0" collapsed="false">
      <c r="A165" s="6" t="s">
        <v>548</v>
      </c>
      <c r="B165" s="7" t="s">
        <v>549</v>
      </c>
      <c r="C165" s="7"/>
      <c r="D165" s="7"/>
      <c r="E165" s="7"/>
    </row>
    <row r="167" customFormat="false" ht="21.75" hidden="false" customHeight="true" outlineLevel="0" collapsed="false">
      <c r="A167" s="4" t="s">
        <v>550</v>
      </c>
      <c r="B167" s="4"/>
      <c r="C167" s="4"/>
      <c r="D167" s="4"/>
      <c r="E167" s="4"/>
      <c r="F167" s="4"/>
      <c r="G167" s="4"/>
      <c r="H167" s="4"/>
    </row>
    <row r="168" customFormat="false" ht="31.5" hidden="false" customHeight="true" outlineLevel="0" collapsed="false">
      <c r="A168" s="2" t="s">
        <v>551</v>
      </c>
      <c r="B168" s="2"/>
      <c r="C168" s="2"/>
      <c r="D168" s="2"/>
    </row>
    <row r="169" customFormat="false" ht="18" hidden="false" customHeight="true" outlineLevel="0" collapsed="false">
      <c r="A169" s="3" t="s">
        <v>552</v>
      </c>
      <c r="B169" s="3"/>
      <c r="C169" s="3"/>
      <c r="D169" s="3"/>
    </row>
    <row r="171" customFormat="false" ht="21.75" hidden="false" customHeight="true" outlineLevel="0" collapsed="false">
      <c r="A171" s="4" t="s">
        <v>553</v>
      </c>
      <c r="B171" s="4"/>
      <c r="C171" s="4"/>
      <c r="D171" s="4"/>
    </row>
    <row r="172" customFormat="false" ht="30" hidden="false" customHeight="true" outlineLevel="0" collapsed="false">
      <c r="A172" s="13" t="s">
        <v>351</v>
      </c>
      <c r="B172" s="13" t="s">
        <v>554</v>
      </c>
      <c r="C172" s="13" t="s">
        <v>555</v>
      </c>
      <c r="D172" s="13" t="s">
        <v>556</v>
      </c>
    </row>
    <row r="173" customFormat="false" ht="45.75" hidden="false" customHeight="true" outlineLevel="0" collapsed="false">
      <c r="A173" s="17" t="s">
        <v>374</v>
      </c>
      <c r="B173" s="17" t="s">
        <v>557</v>
      </c>
      <c r="C173" s="7" t="s">
        <v>558</v>
      </c>
      <c r="D173" s="17" t="s">
        <v>559</v>
      </c>
    </row>
    <row r="174" customFormat="false" ht="45.75" hidden="false" customHeight="true" outlineLevel="0" collapsed="false">
      <c r="A174" s="17" t="s">
        <v>378</v>
      </c>
      <c r="B174" s="17" t="s">
        <v>560</v>
      </c>
      <c r="C174" s="7" t="s">
        <v>561</v>
      </c>
      <c r="D174" s="17" t="s">
        <v>562</v>
      </c>
    </row>
    <row r="175" customFormat="false" ht="45.75" hidden="false" customHeight="true" outlineLevel="0" collapsed="false">
      <c r="A175" s="17" t="s">
        <v>384</v>
      </c>
      <c r="B175" s="17" t="s">
        <v>563</v>
      </c>
      <c r="C175" s="7" t="s">
        <v>564</v>
      </c>
      <c r="D175" s="17" t="s">
        <v>565</v>
      </c>
    </row>
    <row r="176" customFormat="false" ht="45.75" hidden="false" customHeight="true" outlineLevel="0" collapsed="false">
      <c r="A176" s="17" t="s">
        <v>566</v>
      </c>
      <c r="B176" s="17" t="s">
        <v>567</v>
      </c>
      <c r="C176" s="7" t="s">
        <v>568</v>
      </c>
      <c r="D176" s="17" t="s">
        <v>569</v>
      </c>
    </row>
    <row r="177" customFormat="false" ht="45.75" hidden="false" customHeight="true" outlineLevel="0" collapsed="false">
      <c r="A177" s="17" t="s">
        <v>390</v>
      </c>
      <c r="B177" s="17" t="s">
        <v>570</v>
      </c>
      <c r="C177" s="7" t="s">
        <v>571</v>
      </c>
      <c r="D177" s="17" t="s">
        <v>572</v>
      </c>
    </row>
    <row r="178" customFormat="false" ht="45.75" hidden="false" customHeight="true" outlineLevel="0" collapsed="false">
      <c r="A178" s="17" t="s">
        <v>573</v>
      </c>
      <c r="B178" s="17" t="s">
        <v>574</v>
      </c>
      <c r="C178" s="7" t="s">
        <v>575</v>
      </c>
      <c r="D178" s="17" t="s">
        <v>576</v>
      </c>
    </row>
    <row r="180" customFormat="false" ht="21.75" hidden="false" customHeight="true" outlineLevel="0" collapsed="false">
      <c r="A180" s="4" t="s">
        <v>577</v>
      </c>
      <c r="B180" s="4"/>
      <c r="C180" s="4"/>
      <c r="D180" s="4"/>
    </row>
    <row r="181" customFormat="false" ht="30" hidden="false" customHeight="true" outlineLevel="0" collapsed="false">
      <c r="A181" s="13" t="s">
        <v>578</v>
      </c>
      <c r="B181" s="13" t="s">
        <v>579</v>
      </c>
      <c r="C181" s="13" t="s">
        <v>580</v>
      </c>
      <c r="D181" s="13"/>
    </row>
    <row r="182" customFormat="false" ht="49.5" hidden="false" customHeight="true" outlineLevel="0" collapsed="false">
      <c r="A182" s="17" t="s">
        <v>581</v>
      </c>
      <c r="B182" s="7" t="s">
        <v>582</v>
      </c>
      <c r="C182" s="7" t="s">
        <v>583</v>
      </c>
      <c r="D182" s="17"/>
    </row>
    <row r="183" customFormat="false" ht="49.5" hidden="false" customHeight="true" outlineLevel="0" collapsed="false">
      <c r="A183" s="17" t="s">
        <v>584</v>
      </c>
      <c r="B183" s="7" t="s">
        <v>585</v>
      </c>
      <c r="C183" s="7" t="s">
        <v>586</v>
      </c>
      <c r="D183" s="17"/>
    </row>
    <row r="184" customFormat="false" ht="49.5" hidden="false" customHeight="true" outlineLevel="0" collapsed="false">
      <c r="A184" s="17" t="s">
        <v>587</v>
      </c>
      <c r="B184" s="7" t="s">
        <v>588</v>
      </c>
      <c r="C184" s="7" t="s">
        <v>589</v>
      </c>
      <c r="D184" s="17"/>
    </row>
    <row r="185" customFormat="false" ht="49.5" hidden="false" customHeight="true" outlineLevel="0" collapsed="false">
      <c r="A185" s="17" t="s">
        <v>590</v>
      </c>
      <c r="B185" s="7" t="s">
        <v>591</v>
      </c>
      <c r="C185" s="7" t="s">
        <v>592</v>
      </c>
      <c r="D185" s="17"/>
    </row>
    <row r="186" customFormat="false" ht="49.5" hidden="false" customHeight="true" outlineLevel="0" collapsed="false">
      <c r="A186" s="17" t="s">
        <v>593</v>
      </c>
      <c r="B186" s="7" t="s">
        <v>594</v>
      </c>
      <c r="C186" s="7" t="s">
        <v>595</v>
      </c>
      <c r="D186" s="17"/>
    </row>
    <row r="188" customFormat="false" ht="21.75" hidden="false" customHeight="true" outlineLevel="0" collapsed="false">
      <c r="A188" s="4" t="s">
        <v>596</v>
      </c>
      <c r="B188" s="4"/>
      <c r="C188" s="4"/>
      <c r="D188" s="4"/>
    </row>
    <row r="189" customFormat="false" ht="33.75" hidden="false" customHeight="true" outlineLevel="0" collapsed="false">
      <c r="A189" s="6" t="s">
        <v>597</v>
      </c>
      <c r="B189" s="7" t="s">
        <v>598</v>
      </c>
      <c r="C189" s="7"/>
      <c r="D189" s="7"/>
    </row>
    <row r="190" customFormat="false" ht="33.75" hidden="false" customHeight="true" outlineLevel="0" collapsed="false">
      <c r="A190" s="6" t="s">
        <v>599</v>
      </c>
      <c r="B190" s="7" t="s">
        <v>600</v>
      </c>
      <c r="C190" s="7"/>
      <c r="D190" s="7"/>
    </row>
    <row r="191" customFormat="false" ht="33.75" hidden="false" customHeight="true" outlineLevel="0" collapsed="false">
      <c r="A191" s="6" t="s">
        <v>601</v>
      </c>
      <c r="B191" s="7" t="s">
        <v>602</v>
      </c>
      <c r="C191" s="7"/>
      <c r="D191" s="7"/>
    </row>
    <row r="192" customFormat="false" ht="33.75" hidden="false" customHeight="true" outlineLevel="0" collapsed="false">
      <c r="A192" s="6" t="s">
        <v>603</v>
      </c>
      <c r="B192" s="7" t="s">
        <v>604</v>
      </c>
      <c r="C192" s="7"/>
      <c r="D192" s="7"/>
    </row>
    <row r="194" customFormat="false" ht="15" hidden="false" customHeight="true" outlineLevel="0" collapsed="false">
      <c r="A194" s="54" t="s">
        <v>605</v>
      </c>
      <c r="B194" s="54"/>
      <c r="C194" s="54"/>
      <c r="D194" s="54"/>
    </row>
    <row r="195" customFormat="false" ht="15" hidden="false" customHeight="true" outlineLevel="0" collapsed="false">
      <c r="A195" s="54"/>
      <c r="B195" s="54"/>
      <c r="C195" s="54"/>
      <c r="D195" s="54"/>
    </row>
    <row r="196" customFormat="false" ht="15" hidden="false" customHeight="true" outlineLevel="0" collapsed="false">
      <c r="A196" s="54"/>
      <c r="B196" s="54"/>
      <c r="C196" s="54"/>
      <c r="D196" s="54"/>
    </row>
    <row r="197" customFormat="false" ht="15" hidden="false" customHeight="true" outlineLevel="0" collapsed="false">
      <c r="A197" s="54"/>
      <c r="B197" s="54"/>
      <c r="C197" s="54"/>
      <c r="D197" s="54"/>
    </row>
    <row r="198" customFormat="false" ht="15" hidden="false" customHeight="true" outlineLevel="0" collapsed="false">
      <c r="A198" s="54"/>
      <c r="B198" s="54"/>
      <c r="C198" s="54"/>
      <c r="D198" s="54"/>
    </row>
  </sheetData>
  <mergeCells count="59">
    <mergeCell ref="A1:H1"/>
    <mergeCell ref="A2:H2"/>
    <mergeCell ref="A4:H4"/>
    <mergeCell ref="A5:G5"/>
    <mergeCell ref="A6:G6"/>
    <mergeCell ref="A25:G27"/>
    <mergeCell ref="A29:H29"/>
    <mergeCell ref="A30:E30"/>
    <mergeCell ref="A31:E31"/>
    <mergeCell ref="A34:A43"/>
    <mergeCell ref="D34:D43"/>
    <mergeCell ref="E34:E43"/>
    <mergeCell ref="A45:A59"/>
    <mergeCell ref="D45:D59"/>
    <mergeCell ref="E45:E59"/>
    <mergeCell ref="A61:A64"/>
    <mergeCell ref="D61:D64"/>
    <mergeCell ref="E61:E64"/>
    <mergeCell ref="A66:A75"/>
    <mergeCell ref="D66:D75"/>
    <mergeCell ref="E66:E75"/>
    <mergeCell ref="A77:A87"/>
    <mergeCell ref="D77:D87"/>
    <mergeCell ref="E77:E87"/>
    <mergeCell ref="A89:A103"/>
    <mergeCell ref="D89:D103"/>
    <mergeCell ref="E89:E103"/>
    <mergeCell ref="A105:A113"/>
    <mergeCell ref="D105:D113"/>
    <mergeCell ref="E105:E113"/>
    <mergeCell ref="A115:A125"/>
    <mergeCell ref="D115:D125"/>
    <mergeCell ref="E115:E125"/>
    <mergeCell ref="A127:A135"/>
    <mergeCell ref="D127:D135"/>
    <mergeCell ref="E127:E135"/>
    <mergeCell ref="A137:A146"/>
    <mergeCell ref="D137:D146"/>
    <mergeCell ref="E137:E146"/>
    <mergeCell ref="A148:H148"/>
    <mergeCell ref="A149:E149"/>
    <mergeCell ref="A150:E150"/>
    <mergeCell ref="A160:E160"/>
    <mergeCell ref="B161:E161"/>
    <mergeCell ref="B162:E162"/>
    <mergeCell ref="B163:E163"/>
    <mergeCell ref="B164:E164"/>
    <mergeCell ref="B165:E165"/>
    <mergeCell ref="A167:H167"/>
    <mergeCell ref="A168:D168"/>
    <mergeCell ref="A169:D169"/>
    <mergeCell ref="A171:D171"/>
    <mergeCell ref="A180:D180"/>
    <mergeCell ref="A188:D188"/>
    <mergeCell ref="B189:D189"/>
    <mergeCell ref="B190:D190"/>
    <mergeCell ref="B191:D191"/>
    <mergeCell ref="B192:D192"/>
    <mergeCell ref="A194:D19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20"/>
    <col collapsed="false" customWidth="true" hidden="false" outlineLevel="0" max="3" min="3" style="1" width="44"/>
    <col collapsed="false" customWidth="true" hidden="false" outlineLevel="0" max="4" min="4" style="1" width="16"/>
    <col collapsed="false" customWidth="true" hidden="false" outlineLevel="0" max="5" min="5" style="1" width="34"/>
    <col collapsed="false" customWidth="true" hidden="false" outlineLevel="0" max="8" min="6" style="1" width="20"/>
  </cols>
  <sheetData>
    <row r="1" customFormat="false" ht="31.5" hidden="false" customHeight="true" outlineLevel="0" collapsed="false">
      <c r="A1" s="2" t="s">
        <v>606</v>
      </c>
      <c r="B1" s="2"/>
      <c r="C1" s="2"/>
      <c r="D1" s="2"/>
      <c r="E1" s="2"/>
      <c r="F1" s="2"/>
      <c r="G1" s="2"/>
      <c r="H1" s="2"/>
    </row>
    <row r="2" customFormat="false" ht="18" hidden="false" customHeight="true" outlineLevel="0" collapsed="false">
      <c r="A2" s="3" t="s">
        <v>607</v>
      </c>
      <c r="B2" s="3"/>
      <c r="C2" s="3"/>
      <c r="D2" s="3"/>
      <c r="E2" s="3"/>
      <c r="F2" s="3"/>
      <c r="G2" s="3"/>
      <c r="H2" s="3"/>
    </row>
    <row r="4" customFormat="false" ht="21.75" hidden="false" customHeight="true" outlineLevel="0" collapsed="false">
      <c r="A4" s="4" t="s">
        <v>608</v>
      </c>
      <c r="B4" s="4"/>
      <c r="C4" s="4"/>
      <c r="D4" s="4"/>
      <c r="E4" s="4"/>
      <c r="F4" s="4"/>
      <c r="G4" s="4"/>
      <c r="H4" s="4"/>
    </row>
    <row r="5" customFormat="false" ht="31.5" hidden="false" customHeight="true" outlineLevel="0" collapsed="false">
      <c r="A5" s="2" t="s">
        <v>609</v>
      </c>
      <c r="B5" s="2"/>
      <c r="C5" s="2"/>
      <c r="D5" s="2"/>
      <c r="E5" s="2"/>
    </row>
    <row r="6" customFormat="false" ht="18" hidden="false" customHeight="true" outlineLevel="0" collapsed="false">
      <c r="A6" s="3" t="s">
        <v>610</v>
      </c>
      <c r="B6" s="3"/>
      <c r="C6" s="3"/>
      <c r="D6" s="3"/>
      <c r="E6" s="3"/>
    </row>
    <row r="8" customFormat="false" ht="30" hidden="false" customHeight="true" outlineLevel="0" collapsed="false">
      <c r="A8" s="13" t="s">
        <v>513</v>
      </c>
      <c r="B8" s="13" t="s">
        <v>611</v>
      </c>
      <c r="C8" s="13" t="s">
        <v>612</v>
      </c>
      <c r="D8" s="13" t="s">
        <v>613</v>
      </c>
      <c r="E8" s="13" t="s">
        <v>243</v>
      </c>
    </row>
    <row r="9" customFormat="false" ht="61.5" hidden="false" customHeight="true" outlineLevel="0" collapsed="false">
      <c r="A9" s="20" t="s">
        <v>614</v>
      </c>
      <c r="B9" s="20" t="s">
        <v>615</v>
      </c>
      <c r="C9" s="21" t="s">
        <v>616</v>
      </c>
      <c r="D9" s="20" t="s">
        <v>617</v>
      </c>
      <c r="E9" s="21" t="s">
        <v>618</v>
      </c>
    </row>
    <row r="10" customFormat="false" ht="61.5" hidden="false" customHeight="true" outlineLevel="0" collapsed="false">
      <c r="A10" s="20" t="s">
        <v>619</v>
      </c>
      <c r="B10" s="20" t="s">
        <v>615</v>
      </c>
      <c r="C10" s="21" t="s">
        <v>620</v>
      </c>
      <c r="D10" s="20" t="s">
        <v>181</v>
      </c>
      <c r="E10" s="21" t="s">
        <v>621</v>
      </c>
    </row>
    <row r="11" customFormat="false" ht="61.5" hidden="false" customHeight="true" outlineLevel="0" collapsed="false">
      <c r="A11" s="20" t="s">
        <v>622</v>
      </c>
      <c r="B11" s="20" t="s">
        <v>623</v>
      </c>
      <c r="C11" s="21" t="s">
        <v>624</v>
      </c>
      <c r="D11" s="20" t="s">
        <v>625</v>
      </c>
      <c r="E11" s="21" t="s">
        <v>626</v>
      </c>
    </row>
    <row r="12" customFormat="false" ht="61.5" hidden="false" customHeight="true" outlineLevel="0" collapsed="false">
      <c r="A12" s="20" t="s">
        <v>627</v>
      </c>
      <c r="B12" s="20" t="s">
        <v>628</v>
      </c>
      <c r="C12" s="21" t="s">
        <v>629</v>
      </c>
      <c r="D12" s="20" t="s">
        <v>630</v>
      </c>
      <c r="E12" s="21" t="s">
        <v>631</v>
      </c>
    </row>
    <row r="13" customFormat="false" ht="61.5" hidden="false" customHeight="true" outlineLevel="0" collapsed="false">
      <c r="A13" s="20" t="s">
        <v>632</v>
      </c>
      <c r="B13" s="20" t="s">
        <v>633</v>
      </c>
      <c r="C13" s="21" t="s">
        <v>634</v>
      </c>
      <c r="D13" s="20" t="s">
        <v>635</v>
      </c>
      <c r="E13" s="21" t="s">
        <v>636</v>
      </c>
    </row>
    <row r="14" customFormat="false" ht="61.5" hidden="false" customHeight="true" outlineLevel="0" collapsed="false">
      <c r="A14" s="20" t="s">
        <v>534</v>
      </c>
      <c r="B14" s="20" t="s">
        <v>637</v>
      </c>
      <c r="C14" s="21" t="s">
        <v>638</v>
      </c>
      <c r="D14" s="20" t="s">
        <v>182</v>
      </c>
      <c r="E14" s="21" t="s">
        <v>639</v>
      </c>
    </row>
    <row r="16" customFormat="false" ht="21.75" hidden="false" customHeight="true" outlineLevel="0" collapsed="false">
      <c r="A16" s="4" t="s">
        <v>640</v>
      </c>
      <c r="B16" s="4"/>
      <c r="C16" s="4"/>
      <c r="D16" s="4"/>
      <c r="E16" s="4"/>
    </row>
    <row r="17" customFormat="false" ht="49.5" hidden="false" customHeight="true" outlineLevel="0" collapsed="false">
      <c r="A17" s="17" t="s">
        <v>641</v>
      </c>
      <c r="B17" s="7" t="s">
        <v>642</v>
      </c>
      <c r="C17" s="7"/>
      <c r="D17" s="7"/>
      <c r="E17" s="7"/>
    </row>
    <row r="18" customFormat="false" ht="49.5" hidden="false" customHeight="true" outlineLevel="0" collapsed="false">
      <c r="A18" s="17" t="s">
        <v>643</v>
      </c>
      <c r="B18" s="7" t="s">
        <v>644</v>
      </c>
      <c r="C18" s="7"/>
      <c r="D18" s="7"/>
      <c r="E18" s="7"/>
    </row>
    <row r="19" customFormat="false" ht="49.5" hidden="false" customHeight="true" outlineLevel="0" collapsed="false">
      <c r="A19" s="17" t="s">
        <v>645</v>
      </c>
      <c r="B19" s="7" t="s">
        <v>646</v>
      </c>
      <c r="C19" s="7"/>
      <c r="D19" s="7"/>
      <c r="E19" s="7"/>
    </row>
    <row r="21" customFormat="false" ht="21.75" hidden="false" customHeight="true" outlineLevel="0" collapsed="false">
      <c r="A21" s="4" t="s">
        <v>647</v>
      </c>
      <c r="B21" s="4"/>
      <c r="C21" s="4"/>
      <c r="D21" s="4"/>
      <c r="E21" s="4"/>
    </row>
    <row r="22" customFormat="false" ht="129.75" hidden="false" customHeight="true" outlineLevel="0" collapsed="false">
      <c r="A22" s="54" t="s">
        <v>648</v>
      </c>
      <c r="B22" s="54"/>
      <c r="C22" s="54"/>
      <c r="D22" s="54"/>
      <c r="E22" s="54"/>
    </row>
    <row r="23" customFormat="false" ht="15" hidden="false" customHeight="true" outlineLevel="0" collapsed="false">
      <c r="A23" s="54"/>
      <c r="B23" s="54"/>
      <c r="C23" s="54"/>
      <c r="D23" s="54"/>
      <c r="E23" s="54"/>
    </row>
    <row r="24" customFormat="false" ht="15" hidden="false" customHeight="true" outlineLevel="0" collapsed="false">
      <c r="A24" s="54"/>
      <c r="B24" s="54"/>
      <c r="C24" s="54"/>
      <c r="D24" s="54"/>
      <c r="E24" s="54"/>
    </row>
    <row r="25" customFormat="false" ht="15" hidden="false" customHeight="true" outlineLevel="0" collapsed="false">
      <c r="A25" s="54"/>
      <c r="B25" s="54"/>
      <c r="C25" s="54"/>
      <c r="D25" s="54"/>
      <c r="E25" s="54"/>
    </row>
    <row r="26" customFormat="false" ht="15" hidden="false" customHeight="true" outlineLevel="0" collapsed="false">
      <c r="A26" s="54"/>
      <c r="B26" s="54"/>
      <c r="C26" s="54"/>
      <c r="D26" s="54"/>
      <c r="E26" s="54"/>
    </row>
    <row r="27" customFormat="false" ht="15" hidden="false" customHeight="true" outlineLevel="0" collapsed="false">
      <c r="A27" s="54"/>
      <c r="B27" s="54"/>
      <c r="C27" s="54"/>
      <c r="D27" s="54"/>
      <c r="E27" s="54"/>
    </row>
    <row r="29" customFormat="false" ht="21.75" hidden="false" customHeight="true" outlineLevel="0" collapsed="false">
      <c r="A29" s="4" t="s">
        <v>649</v>
      </c>
      <c r="B29" s="4"/>
      <c r="C29" s="4"/>
      <c r="D29" s="4"/>
      <c r="E29" s="4"/>
      <c r="F29" s="4"/>
      <c r="G29" s="4"/>
      <c r="H29" s="4"/>
    </row>
    <row r="30" customFormat="false" ht="31.5" hidden="false" customHeight="true" outlineLevel="0" collapsed="false">
      <c r="A30" s="2" t="s">
        <v>650</v>
      </c>
      <c r="B30" s="2"/>
      <c r="C30" s="2"/>
      <c r="D30" s="2"/>
      <c r="E30" s="2"/>
      <c r="F30" s="2"/>
    </row>
    <row r="31" customFormat="false" ht="18" hidden="false" customHeight="true" outlineLevel="0" collapsed="false">
      <c r="A31" s="3" t="s">
        <v>651</v>
      </c>
      <c r="B31" s="3"/>
      <c r="C31" s="3"/>
      <c r="D31" s="3"/>
      <c r="E31" s="3"/>
      <c r="F31" s="3"/>
    </row>
    <row r="33" customFormat="false" ht="30" hidden="false" customHeight="true" outlineLevel="0" collapsed="false">
      <c r="A33" s="13" t="s">
        <v>351</v>
      </c>
      <c r="B33" s="13" t="s">
        <v>652</v>
      </c>
      <c r="C33" s="13" t="s">
        <v>653</v>
      </c>
      <c r="D33" s="13" t="s">
        <v>654</v>
      </c>
      <c r="E33" s="13" t="s">
        <v>655</v>
      </c>
      <c r="F33" s="13" t="s">
        <v>656</v>
      </c>
    </row>
    <row r="34" customFormat="false" ht="45.75" hidden="false" customHeight="true" outlineLevel="0" collapsed="false">
      <c r="A34" s="17" t="s">
        <v>358</v>
      </c>
      <c r="B34" s="17" t="s">
        <v>657</v>
      </c>
      <c r="C34" s="17" t="s">
        <v>658</v>
      </c>
      <c r="D34" s="17" t="s">
        <v>659</v>
      </c>
      <c r="E34" s="7" t="s">
        <v>660</v>
      </c>
      <c r="F34" s="7" t="s">
        <v>661</v>
      </c>
    </row>
    <row r="35" customFormat="false" ht="45.75" hidden="false" customHeight="true" outlineLevel="0" collapsed="false">
      <c r="A35" s="17" t="s">
        <v>362</v>
      </c>
      <c r="B35" s="17" t="s">
        <v>662</v>
      </c>
      <c r="C35" s="17" t="s">
        <v>663</v>
      </c>
      <c r="D35" s="17" t="s">
        <v>664</v>
      </c>
      <c r="E35" s="7" t="s">
        <v>665</v>
      </c>
      <c r="F35" s="7" t="s">
        <v>666</v>
      </c>
    </row>
    <row r="36" customFormat="false" ht="45.75" hidden="false" customHeight="true" outlineLevel="0" collapsed="false">
      <c r="A36" s="17" t="s">
        <v>374</v>
      </c>
      <c r="B36" s="17" t="s">
        <v>667</v>
      </c>
      <c r="C36" s="17" t="s">
        <v>668</v>
      </c>
      <c r="D36" s="17" t="s">
        <v>669</v>
      </c>
      <c r="E36" s="7" t="s">
        <v>670</v>
      </c>
      <c r="F36" s="7" t="s">
        <v>671</v>
      </c>
    </row>
    <row r="37" customFormat="false" ht="45.75" hidden="false" customHeight="true" outlineLevel="0" collapsed="false">
      <c r="A37" s="17" t="s">
        <v>378</v>
      </c>
      <c r="B37" s="17" t="s">
        <v>672</v>
      </c>
      <c r="C37" s="17" t="s">
        <v>673</v>
      </c>
      <c r="D37" s="17" t="s">
        <v>674</v>
      </c>
      <c r="E37" s="7" t="s">
        <v>675</v>
      </c>
      <c r="F37" s="7" t="s">
        <v>676</v>
      </c>
    </row>
    <row r="38" customFormat="false" ht="45.75" hidden="false" customHeight="true" outlineLevel="0" collapsed="false">
      <c r="A38" s="17" t="s">
        <v>384</v>
      </c>
      <c r="B38" s="17" t="s">
        <v>677</v>
      </c>
      <c r="C38" s="17" t="s">
        <v>678</v>
      </c>
      <c r="D38" s="17" t="s">
        <v>679</v>
      </c>
      <c r="E38" s="7" t="s">
        <v>680</v>
      </c>
      <c r="F38" s="7" t="s">
        <v>681</v>
      </c>
    </row>
    <row r="39" customFormat="false" ht="45.75" hidden="false" customHeight="true" outlineLevel="0" collapsed="false">
      <c r="A39" s="17" t="s">
        <v>566</v>
      </c>
      <c r="B39" s="17" t="s">
        <v>682</v>
      </c>
      <c r="C39" s="17" t="s">
        <v>683</v>
      </c>
      <c r="D39" s="17" t="s">
        <v>664</v>
      </c>
      <c r="E39" s="7" t="s">
        <v>684</v>
      </c>
      <c r="F39" s="7" t="s">
        <v>685</v>
      </c>
    </row>
    <row r="40" customFormat="false" ht="45.75" hidden="false" customHeight="true" outlineLevel="0" collapsed="false">
      <c r="A40" s="17" t="s">
        <v>366</v>
      </c>
      <c r="B40" s="17" t="s">
        <v>686</v>
      </c>
      <c r="C40" s="17" t="s">
        <v>687</v>
      </c>
      <c r="D40" s="17" t="s">
        <v>688</v>
      </c>
      <c r="E40" s="7" t="s">
        <v>689</v>
      </c>
      <c r="F40" s="7" t="s">
        <v>690</v>
      </c>
    </row>
    <row r="41" customFormat="false" ht="45.75" hidden="false" customHeight="true" outlineLevel="0" collapsed="false">
      <c r="A41" s="17" t="s">
        <v>370</v>
      </c>
      <c r="B41" s="17" t="s">
        <v>691</v>
      </c>
      <c r="C41" s="17" t="s">
        <v>692</v>
      </c>
      <c r="D41" s="17" t="s">
        <v>693</v>
      </c>
      <c r="E41" s="7" t="s">
        <v>694</v>
      </c>
      <c r="F41" s="7" t="s">
        <v>695</v>
      </c>
    </row>
    <row r="42" customFormat="false" ht="45.75" hidden="false" customHeight="true" outlineLevel="0" collapsed="false">
      <c r="A42" s="17" t="s">
        <v>390</v>
      </c>
      <c r="B42" s="17" t="s">
        <v>696</v>
      </c>
      <c r="C42" s="17" t="s">
        <v>697</v>
      </c>
      <c r="D42" s="17" t="s">
        <v>698</v>
      </c>
      <c r="E42" s="7" t="s">
        <v>699</v>
      </c>
      <c r="F42" s="7" t="s">
        <v>700</v>
      </c>
    </row>
    <row r="44" customFormat="false" ht="15" hidden="false" customHeight="true" outlineLevel="0" collapsed="false">
      <c r="A44" s="22" t="s">
        <v>701</v>
      </c>
      <c r="B44" s="22"/>
      <c r="C44" s="22"/>
      <c r="D44" s="22"/>
      <c r="E44" s="22"/>
      <c r="F44" s="22"/>
    </row>
    <row r="45" customFormat="false" ht="15" hidden="false" customHeight="true" outlineLevel="0" collapsed="false">
      <c r="A45" s="22"/>
      <c r="B45" s="22"/>
      <c r="C45" s="22"/>
      <c r="D45" s="22"/>
      <c r="E45" s="22"/>
      <c r="F45" s="22"/>
    </row>
    <row r="46" customFormat="false" ht="15" hidden="false" customHeight="true" outlineLevel="0" collapsed="false">
      <c r="A46" s="22"/>
      <c r="B46" s="22"/>
      <c r="C46" s="22"/>
      <c r="D46" s="22"/>
      <c r="E46" s="22"/>
      <c r="F46" s="22"/>
    </row>
    <row r="47" customFormat="false" ht="15" hidden="false" customHeight="true" outlineLevel="0" collapsed="false">
      <c r="A47" s="22"/>
      <c r="B47" s="22"/>
      <c r="C47" s="22"/>
      <c r="D47" s="22"/>
      <c r="E47" s="22"/>
      <c r="F47" s="22"/>
    </row>
  </sheetData>
  <mergeCells count="15">
    <mergeCell ref="A1:H1"/>
    <mergeCell ref="A2:H2"/>
    <mergeCell ref="A4:H4"/>
    <mergeCell ref="A5:E5"/>
    <mergeCell ref="A6:E6"/>
    <mergeCell ref="A16:E16"/>
    <mergeCell ref="B17:E17"/>
    <mergeCell ref="B18:E18"/>
    <mergeCell ref="B19:E19"/>
    <mergeCell ref="A21:E21"/>
    <mergeCell ref="A22:E27"/>
    <mergeCell ref="A29:H29"/>
    <mergeCell ref="A30:F30"/>
    <mergeCell ref="A31:F31"/>
    <mergeCell ref="A44:F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6"/>
    <col collapsed="false" customWidth="true" hidden="false" outlineLevel="0" max="3" min="3" style="1" width="20"/>
    <col collapsed="false" customWidth="true" hidden="false" outlineLevel="0" max="4" min="4" style="1" width="50"/>
    <col collapsed="false" customWidth="true" hidden="false" outlineLevel="0" max="8" min="5" style="1" width="20"/>
  </cols>
  <sheetData>
    <row r="1" customFormat="false" ht="31.5" hidden="false" customHeight="true" outlineLevel="0" collapsed="false">
      <c r="A1" s="2" t="s">
        <v>702</v>
      </c>
      <c r="B1" s="2"/>
      <c r="C1" s="2"/>
      <c r="D1" s="2"/>
      <c r="E1" s="2"/>
      <c r="F1" s="2"/>
      <c r="G1" s="2"/>
      <c r="H1" s="2"/>
    </row>
    <row r="2" customFormat="false" ht="18" hidden="false" customHeight="true" outlineLevel="0" collapsed="false">
      <c r="A2" s="3" t="s">
        <v>703</v>
      </c>
      <c r="B2" s="3"/>
      <c r="C2" s="3"/>
      <c r="D2" s="3"/>
      <c r="E2" s="3"/>
      <c r="F2" s="3"/>
      <c r="G2" s="3"/>
      <c r="H2" s="3"/>
    </row>
    <row r="4" customFormat="false" ht="21.75" hidden="false" customHeight="true" outlineLevel="0" collapsed="false">
      <c r="A4" s="4" t="s">
        <v>704</v>
      </c>
      <c r="B4" s="4"/>
      <c r="C4" s="4"/>
      <c r="D4" s="4"/>
      <c r="E4" s="4"/>
      <c r="F4" s="4"/>
      <c r="G4" s="4"/>
      <c r="H4" s="4"/>
    </row>
    <row r="5" customFormat="false" ht="31.5" hidden="false" customHeight="true" outlineLevel="0" collapsed="false">
      <c r="A5" s="2" t="s">
        <v>705</v>
      </c>
      <c r="B5" s="2"/>
      <c r="C5" s="2"/>
      <c r="D5" s="2"/>
    </row>
    <row r="6" customFormat="false" ht="18" hidden="false" customHeight="true" outlineLevel="0" collapsed="false">
      <c r="A6" s="3" t="s">
        <v>706</v>
      </c>
      <c r="B6" s="3"/>
      <c r="C6" s="3"/>
      <c r="D6" s="3"/>
    </row>
    <row r="8" customFormat="false" ht="21.75" hidden="false" customHeight="true" outlineLevel="0" collapsed="false">
      <c r="A8" s="4" t="s">
        <v>707</v>
      </c>
      <c r="B8" s="4"/>
      <c r="C8" s="4"/>
      <c r="D8" s="4"/>
    </row>
    <row r="9" customFormat="false" ht="30" hidden="false" customHeight="true" outlineLevel="0" collapsed="false">
      <c r="A9" s="13" t="s">
        <v>708</v>
      </c>
      <c r="B9" s="13" t="s">
        <v>709</v>
      </c>
      <c r="C9" s="13" t="s">
        <v>710</v>
      </c>
      <c r="D9" s="13" t="s">
        <v>243</v>
      </c>
    </row>
    <row r="10" customFormat="false" ht="33.75" hidden="false" customHeight="true" outlineLevel="0" collapsed="false">
      <c r="A10" s="17" t="s">
        <v>711</v>
      </c>
      <c r="B10" s="17" t="s">
        <v>712</v>
      </c>
      <c r="C10" s="17" t="s">
        <v>713</v>
      </c>
      <c r="D10" s="7" t="s">
        <v>714</v>
      </c>
    </row>
    <row r="11" customFormat="false" ht="33.75" hidden="false" customHeight="true" outlineLevel="0" collapsed="false">
      <c r="A11" s="17" t="s">
        <v>715</v>
      </c>
      <c r="B11" s="17" t="s">
        <v>716</v>
      </c>
      <c r="C11" s="17" t="s">
        <v>717</v>
      </c>
      <c r="D11" s="7" t="s">
        <v>718</v>
      </c>
    </row>
    <row r="12" customFormat="false" ht="33.75" hidden="false" customHeight="true" outlineLevel="0" collapsed="false">
      <c r="A12" s="17" t="s">
        <v>719</v>
      </c>
      <c r="B12" s="17" t="s">
        <v>720</v>
      </c>
      <c r="C12" s="17" t="s">
        <v>721</v>
      </c>
      <c r="D12" s="7" t="s">
        <v>722</v>
      </c>
    </row>
    <row r="13" customFormat="false" ht="33.75" hidden="false" customHeight="true" outlineLevel="0" collapsed="false">
      <c r="A13" s="17" t="s">
        <v>723</v>
      </c>
      <c r="B13" s="17" t="s">
        <v>724</v>
      </c>
      <c r="C13" s="17" t="s">
        <v>725</v>
      </c>
      <c r="D13" s="7" t="s">
        <v>726</v>
      </c>
    </row>
    <row r="14" customFormat="false" ht="33.75" hidden="false" customHeight="true" outlineLevel="0" collapsed="false">
      <c r="A14" s="17" t="s">
        <v>727</v>
      </c>
      <c r="B14" s="17" t="s">
        <v>728</v>
      </c>
      <c r="C14" s="17" t="s">
        <v>729</v>
      </c>
      <c r="D14" s="7" t="s">
        <v>730</v>
      </c>
    </row>
    <row r="16" customFormat="false" ht="21.75" hidden="false" customHeight="true" outlineLevel="0" collapsed="false">
      <c r="A16" s="4" t="s">
        <v>731</v>
      </c>
      <c r="B16" s="4"/>
      <c r="C16" s="4"/>
      <c r="D16" s="4"/>
    </row>
    <row r="17" customFormat="false" ht="30" hidden="false" customHeight="true" outlineLevel="0" collapsed="false">
      <c r="A17" s="13" t="s">
        <v>732</v>
      </c>
      <c r="B17" s="13" t="s">
        <v>733</v>
      </c>
      <c r="C17" s="13" t="s">
        <v>734</v>
      </c>
      <c r="D17" s="13" t="s">
        <v>735</v>
      </c>
    </row>
    <row r="18" customFormat="false" ht="55.5" hidden="false" customHeight="true" outlineLevel="0" collapsed="false">
      <c r="A18" s="17" t="s">
        <v>736</v>
      </c>
      <c r="B18" s="17" t="s">
        <v>737</v>
      </c>
      <c r="C18" s="7" t="s">
        <v>738</v>
      </c>
      <c r="D18" s="7" t="s">
        <v>739</v>
      </c>
    </row>
    <row r="19" customFormat="false" ht="55.5" hidden="false" customHeight="true" outlineLevel="0" collapsed="false">
      <c r="A19" s="17" t="s">
        <v>740</v>
      </c>
      <c r="B19" s="17" t="s">
        <v>741</v>
      </c>
      <c r="C19" s="7" t="s">
        <v>742</v>
      </c>
      <c r="D19" s="7" t="s">
        <v>743</v>
      </c>
    </row>
    <row r="20" customFormat="false" ht="55.5" hidden="false" customHeight="true" outlineLevel="0" collapsed="false">
      <c r="A20" s="17" t="s">
        <v>744</v>
      </c>
      <c r="B20" s="17" t="s">
        <v>745</v>
      </c>
      <c r="C20" s="7" t="s">
        <v>746</v>
      </c>
      <c r="D20" s="7" t="s">
        <v>747</v>
      </c>
    </row>
    <row r="21" customFormat="false" ht="55.5" hidden="false" customHeight="true" outlineLevel="0" collapsed="false">
      <c r="A21" s="17" t="s">
        <v>748</v>
      </c>
      <c r="B21" s="17" t="s">
        <v>749</v>
      </c>
      <c r="C21" s="7" t="s">
        <v>750</v>
      </c>
      <c r="D21" s="7" t="s">
        <v>751</v>
      </c>
    </row>
    <row r="22" customFormat="false" ht="55.5" hidden="false" customHeight="true" outlineLevel="0" collapsed="false">
      <c r="A22" s="17" t="s">
        <v>752</v>
      </c>
      <c r="B22" s="17" t="s">
        <v>753</v>
      </c>
      <c r="C22" s="7" t="s">
        <v>754</v>
      </c>
      <c r="D22" s="7" t="s">
        <v>755</v>
      </c>
    </row>
    <row r="23" customFormat="false" ht="55.5" hidden="false" customHeight="true" outlineLevel="0" collapsed="false">
      <c r="A23" s="17" t="s">
        <v>756</v>
      </c>
      <c r="B23" s="17" t="s">
        <v>757</v>
      </c>
      <c r="C23" s="7" t="s">
        <v>758</v>
      </c>
      <c r="D23" s="7" t="s">
        <v>759</v>
      </c>
    </row>
    <row r="25" customFormat="false" ht="21.75" hidden="false" customHeight="true" outlineLevel="0" collapsed="false">
      <c r="A25" s="4" t="s">
        <v>760</v>
      </c>
      <c r="B25" s="4"/>
      <c r="C25" s="4"/>
      <c r="D25" s="4"/>
    </row>
    <row r="26" customFormat="false" ht="15" hidden="false" customHeight="true" outlineLevel="0" collapsed="false">
      <c r="A26" s="5" t="s">
        <v>761</v>
      </c>
      <c r="B26" s="5"/>
      <c r="C26" s="5"/>
      <c r="D26" s="5"/>
    </row>
    <row r="27" customFormat="false" ht="15" hidden="false" customHeight="true" outlineLevel="0" collapsed="false">
      <c r="A27" s="5"/>
      <c r="B27" s="5"/>
      <c r="C27" s="5"/>
      <c r="D27" s="5"/>
    </row>
    <row r="28" customFormat="false" ht="15" hidden="false" customHeight="true" outlineLevel="0" collapsed="false">
      <c r="A28" s="5"/>
      <c r="B28" s="5"/>
      <c r="C28" s="5"/>
      <c r="D28" s="5"/>
    </row>
    <row r="29" customFormat="false" ht="15" hidden="false" customHeight="true" outlineLevel="0" collapsed="false">
      <c r="A29" s="5"/>
      <c r="B29" s="5"/>
      <c r="C29" s="5"/>
      <c r="D29" s="5"/>
    </row>
    <row r="30" customFormat="false" ht="15" hidden="false" customHeight="true" outlineLevel="0" collapsed="false">
      <c r="A30" s="5"/>
      <c r="B30" s="5"/>
      <c r="C30" s="5"/>
      <c r="D30" s="5"/>
    </row>
    <row r="32" customFormat="false" ht="21.75" hidden="false" customHeight="true" outlineLevel="0" collapsed="false">
      <c r="A32" s="4" t="s">
        <v>762</v>
      </c>
      <c r="B32" s="4"/>
      <c r="C32" s="4"/>
      <c r="D32" s="4"/>
      <c r="E32" s="4"/>
      <c r="F32" s="4"/>
      <c r="G32" s="4"/>
      <c r="H32" s="4"/>
    </row>
    <row r="33" customFormat="false" ht="31.5" hidden="false" customHeight="true" outlineLevel="0" collapsed="false">
      <c r="A33" s="2" t="s">
        <v>763</v>
      </c>
      <c r="B33" s="2"/>
      <c r="C33" s="2"/>
    </row>
    <row r="34" customFormat="false" ht="18" hidden="false" customHeight="true" outlineLevel="0" collapsed="false">
      <c r="A34" s="3" t="s">
        <v>764</v>
      </c>
      <c r="B34" s="3"/>
      <c r="C34" s="3"/>
    </row>
    <row r="36" customFormat="false" ht="21.75" hidden="false" customHeight="true" outlineLevel="0" collapsed="false">
      <c r="A36" s="4" t="s">
        <v>765</v>
      </c>
      <c r="B36" s="4"/>
      <c r="C36" s="4"/>
    </row>
    <row r="37" customFormat="false" ht="30" hidden="false" customHeight="true" outlineLevel="0" collapsed="false">
      <c r="A37" s="13" t="s">
        <v>766</v>
      </c>
      <c r="B37" s="13" t="s">
        <v>767</v>
      </c>
      <c r="C37" s="13" t="s">
        <v>768</v>
      </c>
    </row>
    <row r="38" customFormat="false" ht="54" hidden="false" customHeight="true" outlineLevel="0" collapsed="false">
      <c r="A38" s="17" t="s">
        <v>769</v>
      </c>
      <c r="B38" s="7" t="s">
        <v>770</v>
      </c>
      <c r="C38" s="7" t="s">
        <v>771</v>
      </c>
    </row>
    <row r="39" customFormat="false" ht="54" hidden="false" customHeight="true" outlineLevel="0" collapsed="false">
      <c r="A39" s="17" t="s">
        <v>95</v>
      </c>
      <c r="B39" s="7" t="s">
        <v>772</v>
      </c>
      <c r="C39" s="7" t="s">
        <v>773</v>
      </c>
    </row>
    <row r="40" customFormat="false" ht="54" hidden="false" customHeight="true" outlineLevel="0" collapsed="false">
      <c r="A40" s="17" t="s">
        <v>93</v>
      </c>
      <c r="B40" s="7" t="s">
        <v>774</v>
      </c>
      <c r="C40" s="7" t="s">
        <v>775</v>
      </c>
    </row>
    <row r="41" customFormat="false" ht="54" hidden="false" customHeight="true" outlineLevel="0" collapsed="false">
      <c r="A41" s="17" t="s">
        <v>776</v>
      </c>
      <c r="B41" s="7" t="s">
        <v>777</v>
      </c>
      <c r="C41" s="7" t="s">
        <v>778</v>
      </c>
    </row>
    <row r="42" customFormat="false" ht="54" hidden="false" customHeight="true" outlineLevel="0" collapsed="false">
      <c r="A42" s="17" t="s">
        <v>779</v>
      </c>
      <c r="B42" s="7" t="s">
        <v>780</v>
      </c>
      <c r="C42" s="7" t="s">
        <v>781</v>
      </c>
    </row>
    <row r="43" customFormat="false" ht="54" hidden="false" customHeight="true" outlineLevel="0" collapsed="false">
      <c r="A43" s="17" t="s">
        <v>782</v>
      </c>
      <c r="B43" s="7" t="s">
        <v>783</v>
      </c>
      <c r="C43" s="7" t="s">
        <v>784</v>
      </c>
    </row>
    <row r="44" customFormat="false" ht="54" hidden="false" customHeight="true" outlineLevel="0" collapsed="false">
      <c r="A44" s="17" t="s">
        <v>785</v>
      </c>
      <c r="B44" s="7" t="s">
        <v>786</v>
      </c>
      <c r="C44" s="7" t="s">
        <v>787</v>
      </c>
    </row>
    <row r="45" customFormat="false" ht="54" hidden="false" customHeight="true" outlineLevel="0" collapsed="false">
      <c r="A45" s="17" t="s">
        <v>94</v>
      </c>
      <c r="B45" s="7" t="s">
        <v>788</v>
      </c>
      <c r="C45" s="7" t="s">
        <v>789</v>
      </c>
    </row>
    <row r="46" customFormat="false" ht="54" hidden="false" customHeight="true" outlineLevel="0" collapsed="false">
      <c r="A46" s="17" t="s">
        <v>790</v>
      </c>
      <c r="B46" s="7" t="s">
        <v>791</v>
      </c>
      <c r="C46" s="7" t="s">
        <v>792</v>
      </c>
    </row>
    <row r="48" customFormat="false" ht="21.75" hidden="false" customHeight="true" outlineLevel="0" collapsed="false">
      <c r="A48" s="4" t="s">
        <v>793</v>
      </c>
      <c r="B48" s="4"/>
      <c r="C48" s="4"/>
    </row>
    <row r="49" customFormat="false" ht="15" hidden="false" customHeight="true" outlineLevel="0" collapsed="false">
      <c r="A49" s="19" t="s">
        <v>794</v>
      </c>
      <c r="B49" s="19"/>
      <c r="C49" s="19"/>
    </row>
    <row r="50" customFormat="false" ht="15" hidden="false" customHeight="true" outlineLevel="0" collapsed="false">
      <c r="A50" s="19"/>
      <c r="B50" s="19"/>
      <c r="C50" s="19"/>
    </row>
    <row r="51" customFormat="false" ht="15" hidden="false" customHeight="true" outlineLevel="0" collapsed="false">
      <c r="A51" s="19"/>
      <c r="B51" s="19"/>
      <c r="C51" s="19"/>
    </row>
    <row r="52" customFormat="false" ht="15" hidden="false" customHeight="true" outlineLevel="0" collapsed="false">
      <c r="A52" s="19"/>
      <c r="B52" s="19"/>
      <c r="C52" s="19"/>
    </row>
  </sheetData>
  <mergeCells count="15">
    <mergeCell ref="A1:H1"/>
    <mergeCell ref="A2:H2"/>
    <mergeCell ref="A4:H4"/>
    <mergeCell ref="A5:D5"/>
    <mergeCell ref="A6:D6"/>
    <mergeCell ref="A8:D8"/>
    <mergeCell ref="A16:D16"/>
    <mergeCell ref="A25:D25"/>
    <mergeCell ref="A26:D30"/>
    <mergeCell ref="A32:H32"/>
    <mergeCell ref="A33:C33"/>
    <mergeCell ref="A34:C34"/>
    <mergeCell ref="A36:C36"/>
    <mergeCell ref="A48:C48"/>
    <mergeCell ref="A49:C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20"/>
    <col collapsed="false" customWidth="true" hidden="false" outlineLevel="0" max="3" min="3" style="1" width="46"/>
    <col collapsed="false" customWidth="true" hidden="false" outlineLevel="0" max="4" min="4" style="1" width="8"/>
    <col collapsed="false" customWidth="true" hidden="false" outlineLevel="0" max="8" min="5" style="1" width="20"/>
  </cols>
  <sheetData>
    <row r="1" customFormat="false" ht="31.5" hidden="false" customHeight="true" outlineLevel="0" collapsed="false">
      <c r="A1" s="2" t="s">
        <v>795</v>
      </c>
      <c r="B1" s="2"/>
      <c r="C1" s="2"/>
      <c r="D1" s="2"/>
      <c r="E1" s="2"/>
      <c r="F1" s="2"/>
      <c r="G1" s="2"/>
      <c r="H1" s="2"/>
    </row>
    <row r="2" customFormat="false" ht="18" hidden="false" customHeight="true" outlineLevel="0" collapsed="false">
      <c r="A2" s="3" t="s">
        <v>144</v>
      </c>
      <c r="B2" s="3"/>
      <c r="C2" s="3"/>
      <c r="D2" s="3"/>
      <c r="E2" s="3"/>
      <c r="F2" s="3"/>
      <c r="G2" s="3"/>
      <c r="H2" s="3"/>
    </row>
    <row r="4" customFormat="false" ht="21.75" hidden="false" customHeight="true" outlineLevel="0" collapsed="false">
      <c r="A4" s="4" t="s">
        <v>796</v>
      </c>
      <c r="B4" s="4"/>
      <c r="C4" s="4"/>
      <c r="D4" s="4"/>
      <c r="E4" s="4"/>
      <c r="F4" s="4"/>
      <c r="G4" s="4"/>
      <c r="H4" s="4"/>
    </row>
    <row r="5" customFormat="false" ht="31.5" hidden="false" customHeight="true" outlineLevel="0" collapsed="false">
      <c r="A5" s="2" t="s">
        <v>797</v>
      </c>
      <c r="B5" s="2"/>
      <c r="C5" s="2"/>
      <c r="D5" s="2"/>
    </row>
    <row r="6" customFormat="false" ht="18" hidden="false" customHeight="true" outlineLevel="0" collapsed="false">
      <c r="A6" s="3" t="s">
        <v>798</v>
      </c>
      <c r="B6" s="3"/>
      <c r="C6" s="3"/>
      <c r="D6" s="3"/>
    </row>
    <row r="8" customFormat="false" ht="21.75" hidden="false" customHeight="true" outlineLevel="0" collapsed="false">
      <c r="A8" s="4" t="s">
        <v>799</v>
      </c>
      <c r="B8" s="4"/>
      <c r="C8" s="4"/>
      <c r="D8" s="4"/>
    </row>
    <row r="9" customFormat="false" ht="15" hidden="false" customHeight="true" outlineLevel="0" collapsed="false">
      <c r="A9" s="19" t="s">
        <v>800</v>
      </c>
      <c r="B9" s="19"/>
      <c r="C9" s="19"/>
      <c r="D9" s="19"/>
    </row>
    <row r="10" customFormat="false" ht="15" hidden="false" customHeight="true" outlineLevel="0" collapsed="false">
      <c r="A10" s="19"/>
      <c r="B10" s="19"/>
      <c r="C10" s="19"/>
      <c r="D10" s="19"/>
    </row>
    <row r="11" customFormat="false" ht="15" hidden="false" customHeight="true" outlineLevel="0" collapsed="false">
      <c r="A11" s="19"/>
      <c r="B11" s="19"/>
      <c r="C11" s="19"/>
      <c r="D11" s="19"/>
    </row>
    <row r="12" customFormat="false" ht="15" hidden="false" customHeight="true" outlineLevel="0" collapsed="false">
      <c r="A12" s="19"/>
      <c r="B12" s="19"/>
      <c r="C12" s="19"/>
      <c r="D12" s="19"/>
    </row>
    <row r="14" customFormat="false" ht="21.75" hidden="false" customHeight="true" outlineLevel="0" collapsed="false">
      <c r="A14" s="4" t="s">
        <v>801</v>
      </c>
      <c r="B14" s="4"/>
      <c r="C14" s="4"/>
      <c r="D14" s="4"/>
    </row>
    <row r="15" customFormat="false" ht="30" hidden="false" customHeight="true" outlineLevel="0" collapsed="false">
      <c r="A15" s="13" t="s">
        <v>86</v>
      </c>
      <c r="B15" s="13" t="s">
        <v>802</v>
      </c>
      <c r="C15" s="13" t="s">
        <v>803</v>
      </c>
      <c r="D15" s="13"/>
    </row>
    <row r="16" customFormat="false" ht="31.5" hidden="false" customHeight="true" outlineLevel="0" collapsed="false">
      <c r="A16" s="17" t="s">
        <v>804</v>
      </c>
      <c r="B16" s="17" t="s">
        <v>805</v>
      </c>
      <c r="C16" s="7" t="s">
        <v>806</v>
      </c>
      <c r="D16" s="17"/>
    </row>
    <row r="17" customFormat="false" ht="31.5" hidden="false" customHeight="true" outlineLevel="0" collapsed="false">
      <c r="A17" s="17" t="s">
        <v>807</v>
      </c>
      <c r="B17" s="17" t="s">
        <v>95</v>
      </c>
      <c r="C17" s="7" t="s">
        <v>808</v>
      </c>
      <c r="D17" s="17"/>
    </row>
    <row r="18" customFormat="false" ht="31.5" hidden="false" customHeight="true" outlineLevel="0" collapsed="false">
      <c r="A18" s="17" t="s">
        <v>809</v>
      </c>
      <c r="B18" s="17" t="s">
        <v>810</v>
      </c>
      <c r="C18" s="7" t="s">
        <v>808</v>
      </c>
      <c r="D18" s="17"/>
    </row>
    <row r="19" customFormat="false" ht="31.5" hidden="false" customHeight="true" outlineLevel="0" collapsed="false">
      <c r="A19" s="17" t="s">
        <v>811</v>
      </c>
      <c r="B19" s="17" t="s">
        <v>812</v>
      </c>
      <c r="C19" s="7" t="s">
        <v>813</v>
      </c>
      <c r="D19" s="17"/>
    </row>
    <row r="20" customFormat="false" ht="31.5" hidden="false" customHeight="true" outlineLevel="0" collapsed="false">
      <c r="A20" s="17" t="s">
        <v>814</v>
      </c>
      <c r="B20" s="17" t="s">
        <v>815</v>
      </c>
      <c r="C20" s="7" t="s">
        <v>808</v>
      </c>
      <c r="D20" s="17"/>
    </row>
    <row r="21" customFormat="false" ht="31.5" hidden="false" customHeight="true" outlineLevel="0" collapsed="false">
      <c r="A21" s="17" t="s">
        <v>816</v>
      </c>
      <c r="B21" s="17" t="s">
        <v>817</v>
      </c>
      <c r="C21" s="7" t="s">
        <v>808</v>
      </c>
      <c r="D21" s="17"/>
    </row>
    <row r="22" customFormat="false" ht="31.5" hidden="false" customHeight="true" outlineLevel="0" collapsed="false">
      <c r="A22" s="17" t="s">
        <v>818</v>
      </c>
      <c r="B22" s="17" t="s">
        <v>819</v>
      </c>
      <c r="C22" s="7" t="s">
        <v>808</v>
      </c>
      <c r="D22" s="17"/>
    </row>
    <row r="23" customFormat="false" ht="31.5" hidden="false" customHeight="true" outlineLevel="0" collapsed="false">
      <c r="A23" s="17" t="s">
        <v>820</v>
      </c>
      <c r="B23" s="17" t="s">
        <v>782</v>
      </c>
      <c r="C23" s="7" t="s">
        <v>808</v>
      </c>
      <c r="D23" s="17"/>
    </row>
    <row r="24" customFormat="false" ht="31.5" hidden="false" customHeight="true" outlineLevel="0" collapsed="false">
      <c r="A24" s="17" t="s">
        <v>821</v>
      </c>
      <c r="B24" s="17" t="s">
        <v>822</v>
      </c>
      <c r="C24" s="7" t="s">
        <v>808</v>
      </c>
      <c r="D24" s="17"/>
    </row>
    <row r="25" customFormat="false" ht="31.5" hidden="false" customHeight="true" outlineLevel="0" collapsed="false">
      <c r="A25" s="17" t="s">
        <v>823</v>
      </c>
      <c r="B25" s="17" t="s">
        <v>824</v>
      </c>
      <c r="C25" s="7" t="s">
        <v>808</v>
      </c>
      <c r="D25" s="17"/>
    </row>
    <row r="26" customFormat="false" ht="31.5" hidden="false" customHeight="true" outlineLevel="0" collapsed="false">
      <c r="A26" s="17" t="s">
        <v>825</v>
      </c>
      <c r="B26" s="17" t="s">
        <v>826</v>
      </c>
      <c r="C26" s="7" t="s">
        <v>827</v>
      </c>
      <c r="D26" s="17"/>
    </row>
    <row r="27" customFormat="false" ht="31.5" hidden="false" customHeight="true" outlineLevel="0" collapsed="false">
      <c r="A27" s="17" t="s">
        <v>828</v>
      </c>
      <c r="B27" s="17" t="s">
        <v>829</v>
      </c>
      <c r="C27" s="7" t="s">
        <v>830</v>
      </c>
      <c r="D27" s="17"/>
    </row>
    <row r="28" customFormat="false" ht="31.5" hidden="false" customHeight="true" outlineLevel="0" collapsed="false">
      <c r="A28" s="17" t="s">
        <v>831</v>
      </c>
      <c r="B28" s="17" t="s">
        <v>832</v>
      </c>
      <c r="C28" s="7" t="s">
        <v>833</v>
      </c>
      <c r="D28" s="17"/>
    </row>
    <row r="29" customFormat="false" ht="31.5" hidden="false" customHeight="true" outlineLevel="0" collapsed="false">
      <c r="A29" s="17" t="s">
        <v>834</v>
      </c>
      <c r="B29" s="17" t="s">
        <v>835</v>
      </c>
      <c r="C29" s="7" t="s">
        <v>808</v>
      </c>
      <c r="D29" s="17"/>
    </row>
    <row r="30" customFormat="false" ht="31.5" hidden="false" customHeight="true" outlineLevel="0" collapsed="false">
      <c r="A30" s="17" t="s">
        <v>836</v>
      </c>
      <c r="B30" s="17" t="s">
        <v>837</v>
      </c>
      <c r="C30" s="7" t="s">
        <v>808</v>
      </c>
      <c r="D30" s="17"/>
    </row>
    <row r="32" customFormat="false" ht="21.75" hidden="false" customHeight="true" outlineLevel="0" collapsed="false">
      <c r="A32" s="4" t="s">
        <v>838</v>
      </c>
      <c r="B32" s="4"/>
      <c r="C32" s="4"/>
      <c r="D32" s="4"/>
    </row>
    <row r="33" customFormat="false" ht="30" hidden="false" customHeight="true" outlineLevel="0" collapsed="false">
      <c r="A33" s="13"/>
      <c r="B33" s="13" t="s">
        <v>839</v>
      </c>
      <c r="C33" s="13" t="s">
        <v>840</v>
      </c>
      <c r="D33" s="13"/>
    </row>
    <row r="34" customFormat="false" ht="43.5" hidden="false" customHeight="true" outlineLevel="0" collapsed="false">
      <c r="A34" s="17" t="s">
        <v>841</v>
      </c>
      <c r="B34" s="7" t="s">
        <v>842</v>
      </c>
      <c r="C34" s="7" t="s">
        <v>843</v>
      </c>
      <c r="D34" s="17"/>
    </row>
    <row r="35" customFormat="false" ht="43.5" hidden="false" customHeight="true" outlineLevel="0" collapsed="false">
      <c r="A35" s="17" t="s">
        <v>844</v>
      </c>
      <c r="B35" s="7" t="s">
        <v>845</v>
      </c>
      <c r="C35" s="7" t="s">
        <v>846</v>
      </c>
      <c r="D35" s="17"/>
    </row>
    <row r="36" customFormat="false" ht="43.5" hidden="false" customHeight="true" outlineLevel="0" collapsed="false">
      <c r="A36" s="17" t="s">
        <v>847</v>
      </c>
      <c r="B36" s="7" t="s">
        <v>848</v>
      </c>
      <c r="C36" s="7" t="s">
        <v>849</v>
      </c>
      <c r="D36" s="17"/>
    </row>
    <row r="37" customFormat="false" ht="43.5" hidden="false" customHeight="true" outlineLevel="0" collapsed="false">
      <c r="A37" s="17" t="s">
        <v>850</v>
      </c>
      <c r="B37" s="7" t="s">
        <v>851</v>
      </c>
      <c r="C37" s="7" t="s">
        <v>851</v>
      </c>
      <c r="D37" s="17"/>
    </row>
    <row r="38" customFormat="false" ht="43.5" hidden="false" customHeight="true" outlineLevel="0" collapsed="false">
      <c r="A38" s="17" t="s">
        <v>852</v>
      </c>
      <c r="B38" s="7" t="s">
        <v>853</v>
      </c>
      <c r="C38" s="7" t="s">
        <v>854</v>
      </c>
      <c r="D38" s="17"/>
    </row>
    <row r="40" customFormat="false" ht="21.75" hidden="false" customHeight="true" outlineLevel="0" collapsed="false">
      <c r="A40" s="4" t="s">
        <v>855</v>
      </c>
      <c r="B40" s="4"/>
      <c r="C40" s="4"/>
      <c r="D40" s="4"/>
    </row>
    <row r="41" customFormat="false" ht="30" hidden="false" customHeight="true" outlineLevel="0" collapsed="false">
      <c r="A41" s="13" t="s">
        <v>856</v>
      </c>
      <c r="B41" s="13" t="s">
        <v>857</v>
      </c>
      <c r="C41" s="13" t="s">
        <v>858</v>
      </c>
      <c r="D41" s="13"/>
    </row>
    <row r="42" customFormat="false" ht="33.75" hidden="false" customHeight="true" outlineLevel="0" collapsed="false">
      <c r="A42" s="17" t="s">
        <v>859</v>
      </c>
      <c r="B42" s="17" t="s">
        <v>860</v>
      </c>
      <c r="C42" s="7" t="s">
        <v>861</v>
      </c>
      <c r="D42" s="17"/>
    </row>
    <row r="43" customFormat="false" ht="33.75" hidden="false" customHeight="true" outlineLevel="0" collapsed="false">
      <c r="A43" s="17" t="s">
        <v>862</v>
      </c>
      <c r="B43" s="17" t="s">
        <v>863</v>
      </c>
      <c r="C43" s="7" t="s">
        <v>864</v>
      </c>
      <c r="D43" s="17"/>
    </row>
    <row r="44" customFormat="false" ht="33.75" hidden="false" customHeight="true" outlineLevel="0" collapsed="false">
      <c r="A44" s="17" t="s">
        <v>865</v>
      </c>
      <c r="B44" s="17" t="s">
        <v>860</v>
      </c>
      <c r="C44" s="7" t="s">
        <v>866</v>
      </c>
      <c r="D44" s="17"/>
    </row>
    <row r="45" customFormat="false" ht="33.75" hidden="false" customHeight="true" outlineLevel="0" collapsed="false">
      <c r="A45" s="17" t="s">
        <v>867</v>
      </c>
      <c r="B45" s="17" t="s">
        <v>860</v>
      </c>
      <c r="C45" s="7" t="s">
        <v>868</v>
      </c>
      <c r="D45" s="17"/>
    </row>
    <row r="46" customFormat="false" ht="33.75" hidden="false" customHeight="true" outlineLevel="0" collapsed="false">
      <c r="A46" s="17" t="s">
        <v>869</v>
      </c>
      <c r="B46" s="17" t="s">
        <v>870</v>
      </c>
      <c r="C46" s="7" t="s">
        <v>871</v>
      </c>
      <c r="D46" s="17"/>
    </row>
    <row r="48" customFormat="false" ht="15" hidden="false" customHeight="true" outlineLevel="0" collapsed="false">
      <c r="A48" s="22" t="s">
        <v>872</v>
      </c>
      <c r="B48" s="22"/>
      <c r="C48" s="22"/>
      <c r="D48" s="22"/>
    </row>
    <row r="49" customFormat="false" ht="15" hidden="false" customHeight="true" outlineLevel="0" collapsed="false">
      <c r="A49" s="22"/>
      <c r="B49" s="22"/>
      <c r="C49" s="22"/>
      <c r="D49" s="22"/>
    </row>
    <row r="50" customFormat="false" ht="15" hidden="false" customHeight="true" outlineLevel="0" collapsed="false">
      <c r="A50" s="22"/>
      <c r="B50" s="22"/>
      <c r="C50" s="22"/>
      <c r="D50" s="22"/>
    </row>
    <row r="51" customFormat="false" ht="15" hidden="false" customHeight="true" outlineLevel="0" collapsed="false">
      <c r="A51" s="22"/>
      <c r="B51" s="22"/>
      <c r="C51" s="22"/>
      <c r="D51" s="22"/>
    </row>
    <row r="53" customFormat="false" ht="21.75" hidden="false" customHeight="true" outlineLevel="0" collapsed="false">
      <c r="A53" s="4" t="s">
        <v>873</v>
      </c>
      <c r="B53" s="4"/>
      <c r="C53" s="4"/>
      <c r="D53" s="4"/>
      <c r="E53" s="4"/>
      <c r="F53" s="4"/>
      <c r="G53" s="4"/>
      <c r="H53" s="4"/>
    </row>
    <row r="54" customFormat="false" ht="31.5" hidden="false" customHeight="true" outlineLevel="0" collapsed="false">
      <c r="A54" s="2" t="s">
        <v>874</v>
      </c>
      <c r="B54" s="2"/>
      <c r="C54" s="2"/>
    </row>
    <row r="55" customFormat="false" ht="18" hidden="false" customHeight="true" outlineLevel="0" collapsed="false">
      <c r="A55" s="3" t="s">
        <v>875</v>
      </c>
      <c r="B55" s="3"/>
      <c r="C55" s="3"/>
    </row>
    <row r="57" customFormat="false" ht="21.75" hidden="false" customHeight="true" outlineLevel="0" collapsed="false">
      <c r="A57" s="4" t="s">
        <v>876</v>
      </c>
      <c r="B57" s="4"/>
      <c r="C57" s="4"/>
    </row>
    <row r="58" customFormat="false" ht="30" hidden="false" customHeight="true" outlineLevel="0" collapsed="false">
      <c r="A58" s="13" t="s">
        <v>877</v>
      </c>
      <c r="B58" s="13" t="s">
        <v>844</v>
      </c>
      <c r="C58" s="13" t="s">
        <v>878</v>
      </c>
    </row>
    <row r="59" customFormat="false" ht="30" hidden="false" customHeight="true" outlineLevel="0" collapsed="false">
      <c r="A59" s="7" t="s">
        <v>865</v>
      </c>
      <c r="B59" s="17" t="s">
        <v>879</v>
      </c>
      <c r="C59" s="17" t="s">
        <v>880</v>
      </c>
    </row>
    <row r="60" customFormat="false" ht="30" hidden="false" customHeight="true" outlineLevel="0" collapsed="false">
      <c r="A60" s="7" t="s">
        <v>862</v>
      </c>
      <c r="B60" s="17" t="s">
        <v>881</v>
      </c>
      <c r="C60" s="17" t="s">
        <v>882</v>
      </c>
    </row>
    <row r="61" customFormat="false" ht="30" hidden="false" customHeight="true" outlineLevel="0" collapsed="false">
      <c r="A61" s="7" t="s">
        <v>883</v>
      </c>
      <c r="B61" s="17" t="s">
        <v>884</v>
      </c>
      <c r="C61" s="17" t="s">
        <v>885</v>
      </c>
    </row>
    <row r="62" customFormat="false" ht="30" hidden="false" customHeight="true" outlineLevel="0" collapsed="false">
      <c r="A62" s="7" t="s">
        <v>886</v>
      </c>
      <c r="B62" s="17" t="s">
        <v>887</v>
      </c>
      <c r="C62" s="17" t="s">
        <v>885</v>
      </c>
    </row>
    <row r="63" customFormat="false" ht="30" hidden="false" customHeight="true" outlineLevel="0" collapsed="false">
      <c r="A63" s="7" t="s">
        <v>888</v>
      </c>
      <c r="B63" s="17" t="s">
        <v>889</v>
      </c>
      <c r="C63" s="17" t="s">
        <v>890</v>
      </c>
    </row>
    <row r="64" customFormat="false" ht="30" hidden="false" customHeight="true" outlineLevel="0" collapsed="false">
      <c r="A64" s="7" t="s">
        <v>891</v>
      </c>
      <c r="B64" s="17" t="s">
        <v>892</v>
      </c>
      <c r="C64" s="17" t="s">
        <v>182</v>
      </c>
    </row>
    <row r="66" customFormat="false" ht="15" hidden="false" customHeight="true" outlineLevel="0" collapsed="false">
      <c r="A66" s="22" t="s">
        <v>893</v>
      </c>
      <c r="B66" s="22"/>
      <c r="C66" s="22"/>
    </row>
    <row r="67" customFormat="false" ht="15" hidden="false" customHeight="true" outlineLevel="0" collapsed="false">
      <c r="A67" s="22"/>
      <c r="B67" s="22"/>
      <c r="C67" s="22"/>
    </row>
    <row r="68" customFormat="false" ht="15" hidden="false" customHeight="true" outlineLevel="0" collapsed="false">
      <c r="A68" s="22"/>
      <c r="B68" s="22"/>
      <c r="C68" s="22"/>
    </row>
    <row r="70" customFormat="false" ht="21.75" hidden="false" customHeight="true" outlineLevel="0" collapsed="false">
      <c r="A70" s="4" t="s">
        <v>894</v>
      </c>
      <c r="B70" s="4"/>
      <c r="C70" s="4"/>
    </row>
    <row r="71" customFormat="false" ht="15" hidden="false" customHeight="true" outlineLevel="0" collapsed="false">
      <c r="A71" s="5" t="s">
        <v>895</v>
      </c>
      <c r="B71" s="5"/>
      <c r="C71" s="5"/>
    </row>
    <row r="72" customFormat="false" ht="15" hidden="false" customHeight="true" outlineLevel="0" collapsed="false">
      <c r="A72" s="5"/>
      <c r="B72" s="5"/>
      <c r="C72" s="5"/>
    </row>
    <row r="73" customFormat="false" ht="15" hidden="false" customHeight="true" outlineLevel="0" collapsed="false">
      <c r="A73" s="5"/>
      <c r="B73" s="5"/>
      <c r="C73" s="5"/>
    </row>
    <row r="74" customFormat="false" ht="15" hidden="false" customHeight="true" outlineLevel="0" collapsed="false">
      <c r="A74" s="5"/>
      <c r="B74" s="5"/>
      <c r="C74" s="5"/>
    </row>
    <row r="75" customFormat="false" ht="15" hidden="false" customHeight="true" outlineLevel="0" collapsed="false">
      <c r="A75" s="5"/>
      <c r="B75" s="5"/>
      <c r="C75" s="5"/>
    </row>
    <row r="77" customFormat="false" ht="21.75" hidden="false" customHeight="true" outlineLevel="0" collapsed="false">
      <c r="A77" s="4" t="s">
        <v>896</v>
      </c>
      <c r="B77" s="4"/>
      <c r="C77" s="4"/>
    </row>
    <row r="78" customFormat="false" ht="15" hidden="false" customHeight="true" outlineLevel="0" collapsed="false">
      <c r="A78" s="55" t="s">
        <v>897</v>
      </c>
      <c r="B78" s="55"/>
      <c r="C78" s="55"/>
    </row>
    <row r="79" customFormat="false" ht="15" hidden="false" customHeight="true" outlineLevel="0" collapsed="false">
      <c r="A79" s="55"/>
      <c r="B79" s="55"/>
      <c r="C79" s="55"/>
    </row>
    <row r="80" customFormat="false" ht="15" hidden="false" customHeight="true" outlineLevel="0" collapsed="false">
      <c r="A80" s="55"/>
      <c r="B80" s="55"/>
      <c r="C80" s="55"/>
    </row>
    <row r="81" customFormat="false" ht="15" hidden="false" customHeight="true" outlineLevel="0" collapsed="false">
      <c r="A81" s="55"/>
      <c r="B81" s="55"/>
      <c r="C81" s="55"/>
    </row>
    <row r="82" customFormat="false" ht="15" hidden="false" customHeight="true" outlineLevel="0" collapsed="false">
      <c r="A82" s="55"/>
      <c r="B82" s="55"/>
      <c r="C82" s="55"/>
    </row>
  </sheetData>
  <mergeCells count="20">
    <mergeCell ref="A1:H1"/>
    <mergeCell ref="A2:H2"/>
    <mergeCell ref="A4:H4"/>
    <mergeCell ref="A5:D5"/>
    <mergeCell ref="A6:D6"/>
    <mergeCell ref="A8:D8"/>
    <mergeCell ref="A9:D12"/>
    <mergeCell ref="A14:D14"/>
    <mergeCell ref="A32:D32"/>
    <mergeCell ref="A40:D40"/>
    <mergeCell ref="A48:D51"/>
    <mergeCell ref="A53:H53"/>
    <mergeCell ref="A54:C54"/>
    <mergeCell ref="A55:C55"/>
    <mergeCell ref="A57:C57"/>
    <mergeCell ref="A66:C68"/>
    <mergeCell ref="A70:C70"/>
    <mergeCell ref="A71:C75"/>
    <mergeCell ref="A77:C77"/>
    <mergeCell ref="A78:C8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30"/>
    <col collapsed="false" customWidth="true" hidden="false" outlineLevel="0" max="3" min="3" style="1" width="16"/>
    <col collapsed="false" customWidth="true" hidden="false" outlineLevel="0" max="4" min="4" style="1" width="30"/>
    <col collapsed="false" customWidth="true" hidden="false" outlineLevel="0" max="8" min="5" style="1" width="20"/>
  </cols>
  <sheetData>
    <row r="1" customFormat="false" ht="31.5" hidden="false" customHeight="true" outlineLevel="0" collapsed="false">
      <c r="A1" s="2" t="s">
        <v>898</v>
      </c>
      <c r="B1" s="2"/>
      <c r="C1" s="2"/>
      <c r="D1" s="2"/>
      <c r="E1" s="2"/>
      <c r="F1" s="2"/>
      <c r="G1" s="2"/>
      <c r="H1" s="2"/>
    </row>
    <row r="2" customFormat="false" ht="18" hidden="false" customHeight="true" outlineLevel="0" collapsed="false">
      <c r="A2" s="3" t="s">
        <v>347</v>
      </c>
      <c r="B2" s="3"/>
      <c r="C2" s="3"/>
      <c r="D2" s="3"/>
      <c r="E2" s="3"/>
      <c r="F2" s="3"/>
      <c r="G2" s="3"/>
      <c r="H2" s="3"/>
    </row>
    <row r="4" customFormat="false" ht="21.75" hidden="false" customHeight="true" outlineLevel="0" collapsed="false">
      <c r="A4" s="4" t="s">
        <v>899</v>
      </c>
      <c r="B4" s="4"/>
      <c r="C4" s="4"/>
      <c r="D4" s="4"/>
      <c r="E4" s="4"/>
      <c r="F4" s="4"/>
      <c r="G4" s="4"/>
      <c r="H4" s="4"/>
    </row>
    <row r="5" customFormat="false" ht="31.5" hidden="false" customHeight="true" outlineLevel="0" collapsed="false">
      <c r="A5" s="2" t="s">
        <v>900</v>
      </c>
      <c r="B5" s="2"/>
      <c r="C5" s="2"/>
      <c r="D5" s="2"/>
      <c r="E5" s="2"/>
    </row>
    <row r="6" customFormat="false" ht="18" hidden="false" customHeight="true" outlineLevel="0" collapsed="false">
      <c r="A6" s="3" t="s">
        <v>901</v>
      </c>
      <c r="B6" s="3"/>
      <c r="C6" s="3"/>
      <c r="D6" s="3"/>
      <c r="E6" s="3"/>
    </row>
    <row r="8" customFormat="false" ht="30" hidden="false" customHeight="true" outlineLevel="0" collapsed="false">
      <c r="A8" s="13" t="s">
        <v>351</v>
      </c>
      <c r="B8" s="13" t="s">
        <v>902</v>
      </c>
      <c r="C8" s="13" t="s">
        <v>903</v>
      </c>
      <c r="D8" s="13" t="s">
        <v>904</v>
      </c>
      <c r="E8" s="13" t="s">
        <v>905</v>
      </c>
    </row>
    <row r="9" customFormat="false" ht="69.75" hidden="false" customHeight="true" outlineLevel="0" collapsed="false">
      <c r="A9" s="17" t="s">
        <v>566</v>
      </c>
      <c r="B9" s="7" t="s">
        <v>906</v>
      </c>
      <c r="C9" s="17" t="s">
        <v>907</v>
      </c>
      <c r="D9" s="7" t="s">
        <v>908</v>
      </c>
      <c r="E9" s="7" t="s">
        <v>909</v>
      </c>
    </row>
    <row r="10" customFormat="false" ht="69.75" hidden="false" customHeight="true" outlineLevel="0" collapsed="false">
      <c r="A10" s="17" t="s">
        <v>362</v>
      </c>
      <c r="B10" s="7" t="s">
        <v>910</v>
      </c>
      <c r="C10" s="17" t="s">
        <v>911</v>
      </c>
      <c r="D10" s="7" t="s">
        <v>912</v>
      </c>
      <c r="E10" s="7" t="s">
        <v>913</v>
      </c>
    </row>
    <row r="11" customFormat="false" ht="69.75" hidden="false" customHeight="true" outlineLevel="0" collapsed="false">
      <c r="A11" s="17" t="s">
        <v>914</v>
      </c>
      <c r="B11" s="7" t="s">
        <v>915</v>
      </c>
      <c r="C11" s="17" t="s">
        <v>916</v>
      </c>
      <c r="D11" s="7" t="s">
        <v>917</v>
      </c>
      <c r="E11" s="7" t="s">
        <v>918</v>
      </c>
    </row>
    <row r="12" customFormat="false" ht="69.75" hidden="false" customHeight="true" outlineLevel="0" collapsed="false">
      <c r="A12" s="17" t="s">
        <v>919</v>
      </c>
      <c r="B12" s="7" t="s">
        <v>920</v>
      </c>
      <c r="C12" s="17" t="s">
        <v>921</v>
      </c>
      <c r="D12" s="7" t="s">
        <v>922</v>
      </c>
      <c r="E12" s="7" t="s">
        <v>923</v>
      </c>
    </row>
    <row r="13" customFormat="false" ht="69.75" hidden="false" customHeight="true" outlineLevel="0" collapsed="false">
      <c r="A13" s="17" t="s">
        <v>370</v>
      </c>
      <c r="B13" s="7" t="s">
        <v>924</v>
      </c>
      <c r="C13" s="17" t="s">
        <v>925</v>
      </c>
      <c r="D13" s="7" t="s">
        <v>912</v>
      </c>
      <c r="E13" s="7" t="s">
        <v>926</v>
      </c>
    </row>
    <row r="15" customFormat="false" ht="21.75" hidden="false" customHeight="true" outlineLevel="0" collapsed="false">
      <c r="A15" s="4" t="s">
        <v>927</v>
      </c>
      <c r="B15" s="4"/>
      <c r="C15" s="4"/>
      <c r="D15" s="4"/>
      <c r="E15" s="4"/>
    </row>
    <row r="16" customFormat="false" ht="15" hidden="false" customHeight="true" outlineLevel="0" collapsed="false">
      <c r="A16" s="18" t="s">
        <v>928</v>
      </c>
      <c r="B16" s="18"/>
      <c r="C16" s="18"/>
      <c r="D16" s="18"/>
      <c r="E16" s="18"/>
    </row>
    <row r="17" customFormat="false" ht="15" hidden="false" customHeight="true" outlineLevel="0" collapsed="false">
      <c r="A17" s="18"/>
      <c r="B17" s="18"/>
      <c r="C17" s="18"/>
      <c r="D17" s="18"/>
      <c r="E17" s="18"/>
    </row>
    <row r="18" customFormat="false" ht="15" hidden="false" customHeight="true" outlineLevel="0" collapsed="false">
      <c r="A18" s="18"/>
      <c r="B18" s="18"/>
      <c r="C18" s="18"/>
      <c r="D18" s="18"/>
      <c r="E18" s="18"/>
    </row>
    <row r="19" customFormat="false" ht="15" hidden="false" customHeight="true" outlineLevel="0" collapsed="false">
      <c r="A19" s="18"/>
      <c r="B19" s="18"/>
      <c r="C19" s="18"/>
      <c r="D19" s="18"/>
      <c r="E19" s="18"/>
    </row>
    <row r="20" customFormat="false" ht="15" hidden="false" customHeight="true" outlineLevel="0" collapsed="false">
      <c r="A20" s="18"/>
      <c r="B20" s="18"/>
      <c r="C20" s="18"/>
      <c r="D20" s="18"/>
      <c r="E20" s="18"/>
    </row>
  </sheetData>
  <mergeCells count="7">
    <mergeCell ref="A1:H1"/>
    <mergeCell ref="A2:H2"/>
    <mergeCell ref="A4:H4"/>
    <mergeCell ref="A5:E5"/>
    <mergeCell ref="A6:E6"/>
    <mergeCell ref="A15:E15"/>
    <mergeCell ref="A16:E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58"/>
    <col collapsed="false" customWidth="true" hidden="false" outlineLevel="0" max="3" min="3" style="1" width="28"/>
    <col collapsed="false" customWidth="true" hidden="false" outlineLevel="0" max="8" min="4" style="1" width="20"/>
  </cols>
  <sheetData>
    <row r="1" customFormat="false" ht="31.5" hidden="false" customHeight="true" outlineLevel="0" collapsed="false">
      <c r="A1" s="2" t="s">
        <v>929</v>
      </c>
      <c r="B1" s="2"/>
      <c r="C1" s="2"/>
      <c r="D1" s="2"/>
      <c r="E1" s="2"/>
      <c r="F1" s="2"/>
      <c r="G1" s="2"/>
      <c r="H1" s="2"/>
    </row>
    <row r="2" customFormat="false" ht="18" hidden="false" customHeight="true" outlineLevel="0" collapsed="false">
      <c r="A2" s="3" t="s">
        <v>607</v>
      </c>
      <c r="B2" s="3"/>
      <c r="C2" s="3"/>
      <c r="D2" s="3"/>
      <c r="E2" s="3"/>
      <c r="F2" s="3"/>
      <c r="G2" s="3"/>
      <c r="H2" s="3"/>
    </row>
    <row r="4" customFormat="false" ht="21.75" hidden="false" customHeight="true" outlineLevel="0" collapsed="false">
      <c r="A4" s="4" t="s">
        <v>930</v>
      </c>
      <c r="B4" s="4"/>
      <c r="C4" s="4"/>
      <c r="D4" s="4"/>
      <c r="E4" s="4"/>
      <c r="F4" s="4"/>
      <c r="G4" s="4"/>
      <c r="H4" s="4"/>
    </row>
    <row r="5" customFormat="false" ht="31.5" hidden="false" customHeight="true" outlineLevel="0" collapsed="false">
      <c r="A5" s="2" t="s">
        <v>931</v>
      </c>
      <c r="B5" s="2"/>
      <c r="C5" s="2"/>
    </row>
    <row r="6" customFormat="false" ht="18" hidden="false" customHeight="true" outlineLevel="0" collapsed="false">
      <c r="A6" s="3" t="s">
        <v>932</v>
      </c>
      <c r="B6" s="3"/>
      <c r="C6" s="3"/>
    </row>
    <row r="8" customFormat="false" ht="21.75" hidden="false" customHeight="true" outlineLevel="0" collapsed="false">
      <c r="A8" s="4" t="s">
        <v>933</v>
      </c>
      <c r="B8" s="4"/>
      <c r="C8" s="4"/>
    </row>
    <row r="9" customFormat="false" ht="15" hidden="false" customHeight="true" outlineLevel="0" collapsed="false">
      <c r="A9" s="5" t="s">
        <v>934</v>
      </c>
      <c r="B9" s="5"/>
      <c r="C9" s="5"/>
    </row>
    <row r="10" customFormat="false" ht="15" hidden="false" customHeight="true" outlineLevel="0" collapsed="false">
      <c r="A10" s="5"/>
      <c r="B10" s="5"/>
      <c r="C10" s="5"/>
    </row>
    <row r="11" customFormat="false" ht="15" hidden="false" customHeight="true" outlineLevel="0" collapsed="false">
      <c r="A11" s="5"/>
      <c r="B11" s="5"/>
      <c r="C11" s="5"/>
    </row>
    <row r="12" customFormat="false" ht="15" hidden="false" customHeight="true" outlineLevel="0" collapsed="false">
      <c r="A12" s="5"/>
      <c r="B12" s="5"/>
      <c r="C12" s="5"/>
    </row>
    <row r="13" customFormat="false" ht="15" hidden="false" customHeight="true" outlineLevel="0" collapsed="false">
      <c r="A13" s="5"/>
      <c r="B13" s="5"/>
      <c r="C13" s="5"/>
    </row>
    <row r="14" customFormat="false" ht="15" hidden="false" customHeight="true" outlineLevel="0" collapsed="false">
      <c r="A14" s="5"/>
      <c r="B14" s="5"/>
      <c r="C14" s="5"/>
    </row>
    <row r="16" customFormat="false" ht="21.75" hidden="false" customHeight="true" outlineLevel="0" collapsed="false">
      <c r="A16" s="4" t="s">
        <v>935</v>
      </c>
      <c r="B16" s="4"/>
      <c r="C16" s="4"/>
    </row>
    <row r="17" customFormat="false" ht="30" hidden="false" customHeight="true" outlineLevel="0" collapsed="false">
      <c r="A17" s="13" t="s">
        <v>936</v>
      </c>
      <c r="B17" s="13" t="s">
        <v>937</v>
      </c>
      <c r="C17" s="13"/>
    </row>
    <row r="18" customFormat="false" ht="39.75" hidden="false" customHeight="true" outlineLevel="0" collapsed="false">
      <c r="A18" s="7" t="s">
        <v>938</v>
      </c>
      <c r="B18" s="7" t="s">
        <v>939</v>
      </c>
      <c r="C18" s="17"/>
    </row>
    <row r="19" customFormat="false" ht="39.75" hidden="false" customHeight="true" outlineLevel="0" collapsed="false">
      <c r="A19" s="7" t="s">
        <v>940</v>
      </c>
      <c r="B19" s="7" t="s">
        <v>941</v>
      </c>
      <c r="C19" s="17"/>
    </row>
    <row r="20" customFormat="false" ht="39.75" hidden="false" customHeight="true" outlineLevel="0" collapsed="false">
      <c r="A20" s="7" t="s">
        <v>942</v>
      </c>
      <c r="B20" s="7" t="s">
        <v>943</v>
      </c>
      <c r="C20" s="17"/>
    </row>
    <row r="22" customFormat="false" ht="15" hidden="false" customHeight="true" outlineLevel="0" collapsed="false">
      <c r="A22" s="55" t="s">
        <v>944</v>
      </c>
      <c r="B22" s="55"/>
      <c r="C22" s="55"/>
    </row>
    <row r="23" customFormat="false" ht="15" hidden="false" customHeight="true" outlineLevel="0" collapsed="false">
      <c r="A23" s="55"/>
      <c r="B23" s="55"/>
      <c r="C23" s="55"/>
    </row>
    <row r="24" customFormat="false" ht="15" hidden="false" customHeight="true" outlineLevel="0" collapsed="false">
      <c r="A24" s="55"/>
      <c r="B24" s="55"/>
      <c r="C24" s="55"/>
    </row>
    <row r="25" customFormat="false" ht="15" hidden="false" customHeight="true" outlineLevel="0" collapsed="false">
      <c r="A25" s="55"/>
      <c r="B25" s="55"/>
      <c r="C25" s="55"/>
    </row>
  </sheetData>
  <mergeCells count="9">
    <mergeCell ref="A1:H1"/>
    <mergeCell ref="A2:H2"/>
    <mergeCell ref="A4:H4"/>
    <mergeCell ref="A5:C5"/>
    <mergeCell ref="A6:C6"/>
    <mergeCell ref="A8:C8"/>
    <mergeCell ref="A9:C14"/>
    <mergeCell ref="A16:C16"/>
    <mergeCell ref="A22:C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60"/>
    <col collapsed="false" customWidth="true" hidden="false" outlineLevel="0" max="3" min="3" style="1" width="30"/>
    <col collapsed="false" customWidth="true" hidden="false" outlineLevel="0" max="8" min="4" style="1" width="20"/>
  </cols>
  <sheetData>
    <row r="1" customFormat="false" ht="31.5" hidden="false" customHeight="true" outlineLevel="0" collapsed="false">
      <c r="A1" s="2" t="s">
        <v>945</v>
      </c>
      <c r="B1" s="2"/>
      <c r="C1" s="2"/>
      <c r="D1" s="2"/>
      <c r="E1" s="2"/>
      <c r="F1" s="2"/>
      <c r="G1" s="2"/>
      <c r="H1" s="2"/>
    </row>
    <row r="2" customFormat="false" ht="18" hidden="false" customHeight="true" outlineLevel="0" collapsed="false">
      <c r="A2" s="3" t="s">
        <v>703</v>
      </c>
      <c r="B2" s="3"/>
      <c r="C2" s="3"/>
      <c r="D2" s="3"/>
      <c r="E2" s="3"/>
      <c r="F2" s="3"/>
      <c r="G2" s="3"/>
      <c r="H2" s="3"/>
    </row>
    <row r="4" customFormat="false" ht="21.75" hidden="false" customHeight="true" outlineLevel="0" collapsed="false">
      <c r="A4" s="4" t="s">
        <v>946</v>
      </c>
      <c r="B4" s="4"/>
      <c r="C4" s="4"/>
      <c r="D4" s="4"/>
      <c r="E4" s="4"/>
      <c r="F4" s="4"/>
      <c r="G4" s="4"/>
      <c r="H4" s="4"/>
    </row>
    <row r="5" customFormat="false" ht="31.5" hidden="false" customHeight="true" outlineLevel="0" collapsed="false">
      <c r="A5" s="2" t="s">
        <v>947</v>
      </c>
      <c r="B5" s="2"/>
      <c r="C5" s="2"/>
    </row>
    <row r="6" customFormat="false" ht="18" hidden="false" customHeight="true" outlineLevel="0" collapsed="false">
      <c r="A6" s="3" t="s">
        <v>948</v>
      </c>
      <c r="B6" s="3"/>
      <c r="C6" s="3"/>
    </row>
    <row r="8" customFormat="false" ht="21.75" hidden="false" customHeight="true" outlineLevel="0" collapsed="false">
      <c r="A8" s="4" t="s">
        <v>949</v>
      </c>
      <c r="B8" s="4"/>
      <c r="C8" s="4"/>
    </row>
    <row r="9" customFormat="false" ht="15" hidden="false" customHeight="true" outlineLevel="0" collapsed="false">
      <c r="A9" s="5" t="s">
        <v>950</v>
      </c>
      <c r="B9" s="5"/>
      <c r="C9" s="5"/>
    </row>
    <row r="10" customFormat="false" ht="15" hidden="false" customHeight="true" outlineLevel="0" collapsed="false">
      <c r="A10" s="5"/>
      <c r="B10" s="5"/>
      <c r="C10" s="5"/>
    </row>
    <row r="11" customFormat="false" ht="15" hidden="false" customHeight="true" outlineLevel="0" collapsed="false">
      <c r="A11" s="5"/>
      <c r="B11" s="5"/>
      <c r="C11" s="5"/>
    </row>
    <row r="13" customFormat="false" ht="30" hidden="false" customHeight="true" outlineLevel="0" collapsed="false">
      <c r="A13" s="13"/>
      <c r="B13" s="13" t="s">
        <v>951</v>
      </c>
      <c r="C13" s="13" t="s">
        <v>952</v>
      </c>
    </row>
    <row r="14" customFormat="false" ht="49.5" hidden="false" customHeight="true" outlineLevel="0" collapsed="false">
      <c r="A14" s="17" t="s">
        <v>953</v>
      </c>
      <c r="B14" s="7" t="s">
        <v>954</v>
      </c>
      <c r="C14" s="7" t="s">
        <v>955</v>
      </c>
    </row>
    <row r="15" customFormat="false" ht="49.5" hidden="false" customHeight="true" outlineLevel="0" collapsed="false">
      <c r="A15" s="17" t="s">
        <v>956</v>
      </c>
      <c r="B15" s="7" t="s">
        <v>957</v>
      </c>
      <c r="C15" s="7" t="s">
        <v>958</v>
      </c>
    </row>
    <row r="16" customFormat="false" ht="49.5" hidden="false" customHeight="true" outlineLevel="0" collapsed="false">
      <c r="A16" s="17" t="s">
        <v>959</v>
      </c>
      <c r="B16" s="7" t="s">
        <v>960</v>
      </c>
      <c r="C16" s="7" t="s">
        <v>961</v>
      </c>
    </row>
    <row r="18" customFormat="false" ht="21.75" hidden="false" customHeight="true" outlineLevel="0" collapsed="false">
      <c r="A18" s="4" t="s">
        <v>962</v>
      </c>
      <c r="B18" s="4"/>
      <c r="C18" s="4"/>
    </row>
    <row r="19" customFormat="false" ht="49.5" hidden="false" customHeight="true" outlineLevel="0" collapsed="false">
      <c r="A19" s="17" t="s">
        <v>963</v>
      </c>
      <c r="B19" s="7" t="s">
        <v>964</v>
      </c>
      <c r="C19" s="7"/>
    </row>
    <row r="20" customFormat="false" ht="49.5" hidden="false" customHeight="true" outlineLevel="0" collapsed="false">
      <c r="A20" s="17" t="s">
        <v>965</v>
      </c>
      <c r="B20" s="7" t="s">
        <v>966</v>
      </c>
      <c r="C20" s="7"/>
    </row>
    <row r="22" customFormat="false" ht="21.75" hidden="false" customHeight="true" outlineLevel="0" collapsed="false">
      <c r="A22" s="4" t="s">
        <v>967</v>
      </c>
      <c r="B22" s="4"/>
      <c r="C22" s="4"/>
    </row>
    <row r="23" customFormat="false" ht="15" hidden="false" customHeight="true" outlineLevel="0" collapsed="false">
      <c r="A23" s="32" t="s">
        <v>968</v>
      </c>
      <c r="B23" s="32"/>
      <c r="C23" s="32"/>
    </row>
    <row r="24" customFormat="false" ht="15" hidden="false" customHeight="true" outlineLevel="0" collapsed="false">
      <c r="A24" s="32"/>
      <c r="B24" s="32"/>
      <c r="C24" s="32"/>
    </row>
    <row r="25" customFormat="false" ht="15" hidden="false" customHeight="true" outlineLevel="0" collapsed="false">
      <c r="A25" s="32"/>
      <c r="B25" s="32"/>
      <c r="C25" s="32"/>
    </row>
    <row r="26" customFormat="false" ht="15" hidden="false" customHeight="true" outlineLevel="0" collapsed="false">
      <c r="A26" s="32"/>
      <c r="B26" s="32"/>
      <c r="C26" s="32"/>
    </row>
    <row r="28" customFormat="false" ht="21.75" hidden="false" customHeight="true" outlineLevel="0" collapsed="false">
      <c r="A28" s="4" t="s">
        <v>969</v>
      </c>
      <c r="B28" s="4"/>
      <c r="C28" s="4"/>
      <c r="D28" s="4"/>
      <c r="E28" s="4"/>
      <c r="F28" s="4"/>
      <c r="G28" s="4"/>
      <c r="H28" s="4"/>
    </row>
    <row r="29" customFormat="false" ht="31.5" hidden="false" customHeight="true" outlineLevel="0" collapsed="false">
      <c r="A29" s="2" t="s">
        <v>970</v>
      </c>
      <c r="B29" s="2"/>
      <c r="C29" s="2"/>
      <c r="D29" s="2"/>
    </row>
    <row r="30" customFormat="false" ht="18" hidden="false" customHeight="true" outlineLevel="0" collapsed="false">
      <c r="A30" s="3" t="s">
        <v>971</v>
      </c>
      <c r="B30" s="3"/>
      <c r="C30" s="3"/>
      <c r="D30" s="3"/>
    </row>
    <row r="32" customFormat="false" ht="21.75" hidden="false" customHeight="true" outlineLevel="0" collapsed="false">
      <c r="A32" s="4" t="s">
        <v>972</v>
      </c>
      <c r="B32" s="4"/>
      <c r="C32" s="4"/>
      <c r="D32" s="4"/>
    </row>
    <row r="33" customFormat="false" ht="15" hidden="false" customHeight="true" outlineLevel="0" collapsed="false">
      <c r="A33" s="18" t="s">
        <v>973</v>
      </c>
      <c r="B33" s="18"/>
      <c r="C33" s="18"/>
      <c r="D33" s="18"/>
    </row>
    <row r="34" customFormat="false" ht="15" hidden="false" customHeight="true" outlineLevel="0" collapsed="false">
      <c r="A34" s="18"/>
      <c r="B34" s="18"/>
      <c r="C34" s="18"/>
      <c r="D34" s="18"/>
    </row>
    <row r="35" customFormat="false" ht="15" hidden="false" customHeight="true" outlineLevel="0" collapsed="false">
      <c r="A35" s="18"/>
      <c r="B35" s="18"/>
      <c r="C35" s="18"/>
      <c r="D35" s="18"/>
    </row>
    <row r="36" customFormat="false" ht="15" hidden="false" customHeight="true" outlineLevel="0" collapsed="false">
      <c r="A36" s="18"/>
      <c r="B36" s="18"/>
      <c r="C36" s="18"/>
      <c r="D36" s="18"/>
    </row>
    <row r="38" customFormat="false" ht="21.75" hidden="false" customHeight="true" outlineLevel="0" collapsed="false">
      <c r="A38" s="4" t="s">
        <v>974</v>
      </c>
      <c r="B38" s="4"/>
      <c r="C38" s="4"/>
      <c r="D38" s="4"/>
    </row>
    <row r="39" customFormat="false" ht="30" hidden="false" customHeight="true" outlineLevel="0" collapsed="false">
      <c r="A39" s="13" t="s">
        <v>86</v>
      </c>
      <c r="B39" s="13" t="s">
        <v>975</v>
      </c>
      <c r="C39" s="13" t="s">
        <v>976</v>
      </c>
      <c r="D39" s="13"/>
    </row>
    <row r="40" customFormat="false" ht="30" hidden="false" customHeight="true" outlineLevel="0" collapsed="false">
      <c r="A40" s="17" t="s">
        <v>977</v>
      </c>
      <c r="B40" s="17" t="s">
        <v>978</v>
      </c>
      <c r="C40" s="7" t="s">
        <v>979</v>
      </c>
      <c r="D40" s="17"/>
    </row>
    <row r="41" customFormat="false" ht="30" hidden="false" customHeight="true" outlineLevel="0" collapsed="false">
      <c r="A41" s="17" t="s">
        <v>980</v>
      </c>
      <c r="B41" s="17" t="s">
        <v>981</v>
      </c>
      <c r="C41" s="7" t="s">
        <v>979</v>
      </c>
      <c r="D41" s="17"/>
    </row>
    <row r="42" customFormat="false" ht="30" hidden="false" customHeight="true" outlineLevel="0" collapsed="false">
      <c r="A42" s="17" t="s">
        <v>982</v>
      </c>
      <c r="B42" s="17" t="s">
        <v>983</v>
      </c>
      <c r="C42" s="7" t="s">
        <v>979</v>
      </c>
      <c r="D42" s="17"/>
    </row>
    <row r="43" customFormat="false" ht="30" hidden="false" customHeight="true" outlineLevel="0" collapsed="false">
      <c r="A43" s="17" t="s">
        <v>984</v>
      </c>
      <c r="B43" s="17" t="s">
        <v>985</v>
      </c>
      <c r="C43" s="7" t="s">
        <v>986</v>
      </c>
      <c r="D43" s="17"/>
    </row>
    <row r="44" customFormat="false" ht="30" hidden="false" customHeight="true" outlineLevel="0" collapsed="false">
      <c r="A44" s="17" t="s">
        <v>987</v>
      </c>
      <c r="B44" s="17" t="s">
        <v>988</v>
      </c>
      <c r="C44" s="7" t="s">
        <v>979</v>
      </c>
      <c r="D44" s="17"/>
    </row>
    <row r="45" customFormat="false" ht="30" hidden="false" customHeight="true" outlineLevel="0" collapsed="false">
      <c r="A45" s="17" t="s">
        <v>989</v>
      </c>
      <c r="B45" s="17" t="s">
        <v>990</v>
      </c>
      <c r="C45" s="7" t="s">
        <v>979</v>
      </c>
      <c r="D45" s="17"/>
    </row>
    <row r="46" customFormat="false" ht="30" hidden="false" customHeight="true" outlineLevel="0" collapsed="false">
      <c r="A46" s="17" t="s">
        <v>991</v>
      </c>
      <c r="B46" s="17" t="s">
        <v>992</v>
      </c>
      <c r="C46" s="7" t="s">
        <v>993</v>
      </c>
      <c r="D46" s="17"/>
    </row>
    <row r="47" customFormat="false" ht="30" hidden="false" customHeight="true" outlineLevel="0" collapsed="false">
      <c r="A47" s="17" t="s">
        <v>994</v>
      </c>
      <c r="B47" s="17" t="s">
        <v>995</v>
      </c>
      <c r="C47" s="7" t="s">
        <v>996</v>
      </c>
      <c r="D47" s="17"/>
    </row>
    <row r="49" customFormat="false" ht="21.75" hidden="false" customHeight="true" outlineLevel="0" collapsed="false">
      <c r="A49" s="4" t="s">
        <v>997</v>
      </c>
      <c r="B49" s="4"/>
      <c r="C49" s="4"/>
      <c r="D49" s="4"/>
    </row>
    <row r="50" customFormat="false" ht="15" hidden="false" customHeight="true" outlineLevel="0" collapsed="false">
      <c r="A50" s="5" t="s">
        <v>998</v>
      </c>
      <c r="B50" s="5"/>
      <c r="C50" s="5"/>
      <c r="D50" s="5"/>
    </row>
    <row r="51" customFormat="false" ht="15" hidden="false" customHeight="true" outlineLevel="0" collapsed="false">
      <c r="A51" s="5"/>
      <c r="B51" s="5"/>
      <c r="C51" s="5"/>
      <c r="D51" s="5"/>
    </row>
    <row r="52" customFormat="false" ht="15" hidden="false" customHeight="true" outlineLevel="0" collapsed="false">
      <c r="A52" s="5"/>
      <c r="B52" s="5"/>
      <c r="C52" s="5"/>
      <c r="D52" s="5"/>
    </row>
    <row r="53" customFormat="false" ht="15" hidden="false" customHeight="true" outlineLevel="0" collapsed="false">
      <c r="A53" s="5"/>
      <c r="B53" s="5"/>
      <c r="C53" s="5"/>
      <c r="D53" s="5"/>
    </row>
    <row r="54" customFormat="false" ht="15" hidden="false" customHeight="true" outlineLevel="0" collapsed="false">
      <c r="A54" s="5"/>
      <c r="B54" s="5"/>
      <c r="C54" s="5"/>
      <c r="D54" s="5"/>
    </row>
    <row r="56" customFormat="false" ht="21.75" hidden="false" customHeight="true" outlineLevel="0" collapsed="false">
      <c r="A56" s="4" t="s">
        <v>999</v>
      </c>
      <c r="B56" s="4"/>
      <c r="C56" s="4"/>
      <c r="D56" s="4"/>
    </row>
    <row r="57" customFormat="false" ht="30" hidden="false" customHeight="true" outlineLevel="0" collapsed="false">
      <c r="A57" s="13" t="s">
        <v>1000</v>
      </c>
      <c r="B57" s="13" t="s">
        <v>1001</v>
      </c>
      <c r="C57" s="13" t="s">
        <v>1002</v>
      </c>
      <c r="D57" s="13"/>
    </row>
    <row r="58" customFormat="false" ht="43.5" hidden="false" customHeight="true" outlineLevel="0" collapsed="false">
      <c r="A58" s="17" t="s">
        <v>1003</v>
      </c>
      <c r="B58" s="7" t="s">
        <v>1004</v>
      </c>
      <c r="C58" s="7" t="s">
        <v>1005</v>
      </c>
      <c r="D58" s="17"/>
    </row>
    <row r="59" customFormat="false" ht="43.5" hidden="false" customHeight="true" outlineLevel="0" collapsed="false">
      <c r="A59" s="17" t="s">
        <v>1006</v>
      </c>
      <c r="B59" s="7" t="s">
        <v>1007</v>
      </c>
      <c r="C59" s="7" t="s">
        <v>1008</v>
      </c>
      <c r="D59" s="17"/>
    </row>
    <row r="60" customFormat="false" ht="43.5" hidden="false" customHeight="true" outlineLevel="0" collapsed="false">
      <c r="A60" s="17" t="s">
        <v>1009</v>
      </c>
      <c r="B60" s="7" t="s">
        <v>1010</v>
      </c>
      <c r="C60" s="7" t="s">
        <v>1011</v>
      </c>
      <c r="D60" s="17"/>
    </row>
    <row r="61" customFormat="false" ht="43.5" hidden="false" customHeight="true" outlineLevel="0" collapsed="false">
      <c r="A61" s="17" t="s">
        <v>1012</v>
      </c>
      <c r="B61" s="7" t="s">
        <v>1013</v>
      </c>
      <c r="C61" s="7" t="s">
        <v>1014</v>
      </c>
      <c r="D61" s="17"/>
    </row>
    <row r="63" customFormat="false" ht="21.75" hidden="false" customHeight="true" outlineLevel="0" collapsed="false">
      <c r="A63" s="4" t="s">
        <v>1015</v>
      </c>
      <c r="B63" s="4"/>
      <c r="C63" s="4"/>
      <c r="D63" s="4"/>
    </row>
    <row r="64" customFormat="false" ht="30" hidden="false" customHeight="true" outlineLevel="0" collapsed="false">
      <c r="A64" s="13" t="s">
        <v>1016</v>
      </c>
      <c r="B64" s="13" t="s">
        <v>1017</v>
      </c>
      <c r="C64" s="13"/>
      <c r="D64" s="13"/>
    </row>
    <row r="65" customFormat="false" ht="27.75" hidden="false" customHeight="true" outlineLevel="0" collapsed="false">
      <c r="A65" s="17" t="s">
        <v>1018</v>
      </c>
      <c r="B65" s="7" t="s">
        <v>1019</v>
      </c>
      <c r="C65" s="7"/>
      <c r="D65" s="7"/>
    </row>
    <row r="66" customFormat="false" ht="27.75" hidden="false" customHeight="true" outlineLevel="0" collapsed="false">
      <c r="A66" s="17" t="s">
        <v>1020</v>
      </c>
      <c r="B66" s="7" t="s">
        <v>1021</v>
      </c>
      <c r="C66" s="7"/>
      <c r="D66" s="7"/>
    </row>
    <row r="67" customFormat="false" ht="27.75" hidden="false" customHeight="true" outlineLevel="0" collapsed="false">
      <c r="A67" s="17" t="s">
        <v>1022</v>
      </c>
      <c r="B67" s="7" t="s">
        <v>1023</v>
      </c>
      <c r="C67" s="7"/>
      <c r="D67" s="7"/>
    </row>
    <row r="68" customFormat="false" ht="27.75" hidden="false" customHeight="true" outlineLevel="0" collapsed="false">
      <c r="A68" s="17" t="s">
        <v>1024</v>
      </c>
      <c r="B68" s="7" t="s">
        <v>1025</v>
      </c>
      <c r="C68" s="7"/>
      <c r="D68" s="7"/>
    </row>
    <row r="69" customFormat="false" ht="27.75" hidden="false" customHeight="true" outlineLevel="0" collapsed="false">
      <c r="A69" s="17" t="s">
        <v>1026</v>
      </c>
      <c r="B69" s="7" t="s">
        <v>1027</v>
      </c>
      <c r="C69" s="7"/>
      <c r="D69" s="7"/>
    </row>
    <row r="70" customFormat="false" ht="27.75" hidden="false" customHeight="true" outlineLevel="0" collapsed="false">
      <c r="A70" s="17" t="s">
        <v>1028</v>
      </c>
      <c r="B70" s="7" t="s">
        <v>1029</v>
      </c>
      <c r="C70" s="7"/>
      <c r="D70" s="7"/>
    </row>
    <row r="71" customFormat="false" ht="27.75" hidden="false" customHeight="true" outlineLevel="0" collapsed="false">
      <c r="A71" s="17" t="s">
        <v>1030</v>
      </c>
      <c r="B71" s="7" t="s">
        <v>1031</v>
      </c>
      <c r="C71" s="7"/>
      <c r="D71" s="7"/>
    </row>
    <row r="72" customFormat="false" ht="27.75" hidden="false" customHeight="true" outlineLevel="0" collapsed="false">
      <c r="A72" s="17" t="s">
        <v>1032</v>
      </c>
      <c r="B72" s="7" t="s">
        <v>1033</v>
      </c>
      <c r="C72" s="7"/>
      <c r="D72" s="7"/>
    </row>
    <row r="73" customFormat="false" ht="27.75" hidden="false" customHeight="true" outlineLevel="0" collapsed="false">
      <c r="A73" s="17" t="s">
        <v>1034</v>
      </c>
      <c r="B73" s="7" t="s">
        <v>1035</v>
      </c>
      <c r="C73" s="7"/>
      <c r="D73" s="7"/>
    </row>
    <row r="75" customFormat="false" ht="15" hidden="false" customHeight="true" outlineLevel="0" collapsed="false">
      <c r="A75" s="22" t="s">
        <v>1036</v>
      </c>
      <c r="B75" s="22"/>
      <c r="C75" s="22"/>
      <c r="D75" s="22"/>
    </row>
    <row r="76" customFormat="false" ht="15" hidden="false" customHeight="true" outlineLevel="0" collapsed="false">
      <c r="A76" s="22"/>
      <c r="B76" s="22"/>
      <c r="C76" s="22"/>
      <c r="D76" s="22"/>
    </row>
    <row r="78" customFormat="false" ht="21.75" hidden="false" customHeight="true" outlineLevel="0" collapsed="false">
      <c r="A78" s="4" t="s">
        <v>1037</v>
      </c>
      <c r="B78" s="4"/>
      <c r="C78" s="4"/>
      <c r="D78" s="4"/>
      <c r="E78" s="4"/>
      <c r="F78" s="4"/>
      <c r="G78" s="4"/>
      <c r="H78" s="4"/>
    </row>
    <row r="79" customFormat="false" ht="31.5" hidden="false" customHeight="true" outlineLevel="0" collapsed="false">
      <c r="A79" s="2" t="s">
        <v>1038</v>
      </c>
      <c r="B79" s="2"/>
      <c r="C79" s="2"/>
    </row>
    <row r="80" customFormat="false" ht="18" hidden="false" customHeight="true" outlineLevel="0" collapsed="false">
      <c r="A80" s="3" t="s">
        <v>1039</v>
      </c>
      <c r="B80" s="3"/>
      <c r="C80" s="3"/>
    </row>
    <row r="82" customFormat="false" ht="21.75" hidden="false" customHeight="true" outlineLevel="0" collapsed="false">
      <c r="A82" s="4" t="s">
        <v>1040</v>
      </c>
      <c r="B82" s="4"/>
      <c r="C82" s="4"/>
    </row>
    <row r="83" customFormat="false" ht="15" hidden="false" customHeight="true" outlineLevel="0" collapsed="false">
      <c r="A83" s="5" t="s">
        <v>1041</v>
      </c>
      <c r="B83" s="5"/>
      <c r="C83" s="5"/>
    </row>
    <row r="84" customFormat="false" ht="15" hidden="false" customHeight="true" outlineLevel="0" collapsed="false">
      <c r="A84" s="5"/>
      <c r="B84" s="5"/>
      <c r="C84" s="5"/>
    </row>
    <row r="85" customFormat="false" ht="15" hidden="false" customHeight="true" outlineLevel="0" collapsed="false">
      <c r="A85" s="5"/>
      <c r="B85" s="5"/>
      <c r="C85" s="5"/>
    </row>
    <row r="86" customFormat="false" ht="15" hidden="false" customHeight="true" outlineLevel="0" collapsed="false">
      <c r="A86" s="5"/>
      <c r="B86" s="5"/>
      <c r="C86" s="5"/>
    </row>
    <row r="87" customFormat="false" ht="15" hidden="false" customHeight="true" outlineLevel="0" collapsed="false">
      <c r="A87" s="5"/>
      <c r="B87" s="5"/>
      <c r="C87" s="5"/>
    </row>
    <row r="89" customFormat="false" ht="21.75" hidden="false" customHeight="true" outlineLevel="0" collapsed="false">
      <c r="A89" s="4" t="s">
        <v>1042</v>
      </c>
      <c r="B89" s="4"/>
      <c r="C89" s="4"/>
    </row>
    <row r="90" customFormat="false" ht="30" hidden="false" customHeight="true" outlineLevel="0" collapsed="false">
      <c r="A90" s="13" t="s">
        <v>1043</v>
      </c>
      <c r="B90" s="13" t="s">
        <v>1044</v>
      </c>
      <c r="C90" s="13"/>
    </row>
    <row r="91" customFormat="false" ht="49.5" hidden="false" customHeight="true" outlineLevel="0" collapsed="false">
      <c r="A91" s="7" t="s">
        <v>1045</v>
      </c>
      <c r="B91" s="7" t="s">
        <v>1046</v>
      </c>
      <c r="C91" s="17"/>
    </row>
    <row r="92" customFormat="false" ht="49.5" hidden="false" customHeight="true" outlineLevel="0" collapsed="false">
      <c r="A92" s="7" t="s">
        <v>1047</v>
      </c>
      <c r="B92" s="7" t="s">
        <v>1048</v>
      </c>
      <c r="C92" s="17"/>
    </row>
    <row r="94" customFormat="false" ht="15" hidden="false" customHeight="true" outlineLevel="0" collapsed="false">
      <c r="A94" s="5" t="s">
        <v>1049</v>
      </c>
      <c r="B94" s="5"/>
      <c r="C94" s="5"/>
    </row>
    <row r="95" customFormat="false" ht="15" hidden="false" customHeight="true" outlineLevel="0" collapsed="false">
      <c r="A95" s="5"/>
      <c r="B95" s="5"/>
      <c r="C95" s="5"/>
    </row>
    <row r="96" customFormat="false" ht="15" hidden="false" customHeight="true" outlineLevel="0" collapsed="false">
      <c r="A96" s="5"/>
      <c r="B96" s="5"/>
      <c r="C96" s="5"/>
    </row>
    <row r="97" customFormat="false" ht="15" hidden="false" customHeight="true" outlineLevel="0" collapsed="false">
      <c r="A97" s="5"/>
      <c r="B97" s="5"/>
      <c r="C97" s="5"/>
    </row>
    <row r="99" customFormat="false" ht="21.75" hidden="false" customHeight="true" outlineLevel="0" collapsed="false">
      <c r="A99" s="4" t="s">
        <v>1050</v>
      </c>
      <c r="B99" s="4"/>
      <c r="C99" s="4"/>
    </row>
    <row r="100" customFormat="false" ht="15" hidden="false" customHeight="true" outlineLevel="0" collapsed="false">
      <c r="A100" s="18" t="s">
        <v>1051</v>
      </c>
      <c r="B100" s="18"/>
      <c r="C100" s="18"/>
    </row>
    <row r="101" customFormat="false" ht="15" hidden="false" customHeight="true" outlineLevel="0" collapsed="false">
      <c r="A101" s="18"/>
      <c r="B101" s="18"/>
      <c r="C101" s="18"/>
    </row>
    <row r="102" customFormat="false" ht="15" hidden="false" customHeight="true" outlineLevel="0" collapsed="false">
      <c r="A102" s="18"/>
      <c r="B102" s="18"/>
      <c r="C102" s="18"/>
    </row>
    <row r="103" customFormat="false" ht="15" hidden="false" customHeight="true" outlineLevel="0" collapsed="false">
      <c r="A103" s="18"/>
      <c r="B103" s="18"/>
      <c r="C103" s="18"/>
    </row>
    <row r="104" customFormat="false" ht="15" hidden="false" customHeight="true" outlineLevel="0" collapsed="false">
      <c r="A104" s="18"/>
      <c r="B104" s="18"/>
      <c r="C104" s="18"/>
    </row>
    <row r="105" customFormat="false" ht="15" hidden="false" customHeight="true" outlineLevel="0" collapsed="false">
      <c r="A105" s="18"/>
      <c r="B105" s="18"/>
      <c r="C105" s="18"/>
    </row>
    <row r="107" customFormat="false" ht="21.75" hidden="false" customHeight="true" outlineLevel="0" collapsed="false">
      <c r="A107" s="4" t="s">
        <v>1052</v>
      </c>
      <c r="B107" s="4"/>
      <c r="C107" s="4"/>
    </row>
    <row r="108" customFormat="false" ht="15" hidden="false" customHeight="true" outlineLevel="0" collapsed="false">
      <c r="A108" s="22" t="s">
        <v>1053</v>
      </c>
      <c r="B108" s="22"/>
      <c r="C108" s="22"/>
    </row>
    <row r="109" customFormat="false" ht="15" hidden="false" customHeight="true" outlineLevel="0" collapsed="false">
      <c r="A109" s="22"/>
      <c r="B109" s="22"/>
      <c r="C109" s="22"/>
    </row>
    <row r="110" customFormat="false" ht="15" hidden="false" customHeight="true" outlineLevel="0" collapsed="false">
      <c r="A110" s="22"/>
      <c r="B110" s="22"/>
      <c r="C110" s="22"/>
    </row>
    <row r="112" customFormat="false" ht="21.75" hidden="false" customHeight="true" outlineLevel="0" collapsed="false">
      <c r="A112" s="4" t="s">
        <v>1054</v>
      </c>
      <c r="B112" s="4"/>
      <c r="C112" s="4"/>
      <c r="D112" s="4"/>
      <c r="E112" s="4"/>
      <c r="F112" s="4"/>
      <c r="G112" s="4"/>
      <c r="H112" s="4"/>
    </row>
    <row r="113" customFormat="false" ht="31.5" hidden="false" customHeight="true" outlineLevel="0" collapsed="false">
      <c r="A113" s="2" t="s">
        <v>1055</v>
      </c>
      <c r="B113" s="2"/>
      <c r="C113" s="2"/>
    </row>
    <row r="114" customFormat="false" ht="18" hidden="false" customHeight="true" outlineLevel="0" collapsed="false">
      <c r="A114" s="3" t="s">
        <v>1056</v>
      </c>
      <c r="B114" s="3"/>
      <c r="C114" s="3"/>
    </row>
    <row r="116" customFormat="false" ht="21.75" hidden="false" customHeight="true" outlineLevel="0" collapsed="false">
      <c r="A116" s="4" t="s">
        <v>1057</v>
      </c>
      <c r="B116" s="4"/>
      <c r="C116" s="4"/>
    </row>
    <row r="117" customFormat="false" ht="30" hidden="false" customHeight="true" outlineLevel="0" collapsed="false">
      <c r="A117" s="13" t="s">
        <v>766</v>
      </c>
      <c r="B117" s="13" t="s">
        <v>767</v>
      </c>
      <c r="C117" s="13" t="s">
        <v>768</v>
      </c>
    </row>
    <row r="118" customFormat="false" ht="49.5" hidden="false" customHeight="true" outlineLevel="0" collapsed="false">
      <c r="A118" s="17" t="s">
        <v>769</v>
      </c>
      <c r="B118" s="7" t="s">
        <v>1058</v>
      </c>
      <c r="C118" s="7" t="s">
        <v>1059</v>
      </c>
    </row>
    <row r="119" customFormat="false" ht="49.5" hidden="false" customHeight="true" outlineLevel="0" collapsed="false">
      <c r="A119" s="17" t="s">
        <v>95</v>
      </c>
      <c r="B119" s="7" t="s">
        <v>1060</v>
      </c>
      <c r="C119" s="7" t="s">
        <v>1061</v>
      </c>
    </row>
    <row r="120" customFormat="false" ht="49.5" hidden="false" customHeight="true" outlineLevel="0" collapsed="false">
      <c r="A120" s="17" t="s">
        <v>93</v>
      </c>
      <c r="B120" s="7" t="s">
        <v>1062</v>
      </c>
      <c r="C120" s="7" t="s">
        <v>1063</v>
      </c>
    </row>
    <row r="121" customFormat="false" ht="49.5" hidden="false" customHeight="true" outlineLevel="0" collapsed="false">
      <c r="A121" s="17" t="s">
        <v>776</v>
      </c>
      <c r="B121" s="7" t="s">
        <v>1064</v>
      </c>
      <c r="C121" s="7" t="s">
        <v>1065</v>
      </c>
    </row>
    <row r="122" customFormat="false" ht="49.5" hidden="false" customHeight="true" outlineLevel="0" collapsed="false">
      <c r="A122" s="17" t="s">
        <v>779</v>
      </c>
      <c r="B122" s="7" t="s">
        <v>1066</v>
      </c>
      <c r="C122" s="7" t="s">
        <v>1067</v>
      </c>
    </row>
    <row r="123" customFormat="false" ht="49.5" hidden="false" customHeight="true" outlineLevel="0" collapsed="false">
      <c r="A123" s="17" t="s">
        <v>782</v>
      </c>
      <c r="B123" s="7" t="s">
        <v>1068</v>
      </c>
      <c r="C123" s="7" t="s">
        <v>1069</v>
      </c>
    </row>
    <row r="124" customFormat="false" ht="49.5" hidden="false" customHeight="true" outlineLevel="0" collapsed="false">
      <c r="A124" s="17" t="s">
        <v>785</v>
      </c>
      <c r="B124" s="7" t="s">
        <v>1070</v>
      </c>
      <c r="C124" s="7" t="s">
        <v>1071</v>
      </c>
    </row>
    <row r="125" customFormat="false" ht="49.5" hidden="false" customHeight="true" outlineLevel="0" collapsed="false">
      <c r="A125" s="17" t="s">
        <v>94</v>
      </c>
      <c r="B125" s="7" t="s">
        <v>1072</v>
      </c>
      <c r="C125" s="7" t="s">
        <v>1073</v>
      </c>
    </row>
    <row r="126" customFormat="false" ht="49.5" hidden="false" customHeight="true" outlineLevel="0" collapsed="false">
      <c r="A126" s="17" t="s">
        <v>790</v>
      </c>
      <c r="B126" s="7" t="s">
        <v>1074</v>
      </c>
      <c r="C126" s="7" t="s">
        <v>1075</v>
      </c>
    </row>
    <row r="127" customFormat="false" ht="49.5" hidden="false" customHeight="true" outlineLevel="0" collapsed="false">
      <c r="A127" s="17" t="s">
        <v>1076</v>
      </c>
      <c r="B127" s="7" t="s">
        <v>1077</v>
      </c>
      <c r="C127" s="7" t="s">
        <v>1078</v>
      </c>
    </row>
    <row r="128" customFormat="false" ht="49.5" hidden="false" customHeight="true" outlineLevel="0" collapsed="false">
      <c r="A128" s="17" t="s">
        <v>1079</v>
      </c>
      <c r="B128" s="7" t="s">
        <v>1080</v>
      </c>
      <c r="C128" s="7" t="s">
        <v>1081</v>
      </c>
    </row>
    <row r="129" customFormat="false" ht="49.5" hidden="false" customHeight="true" outlineLevel="0" collapsed="false">
      <c r="A129" s="17" t="s">
        <v>1082</v>
      </c>
      <c r="B129" s="7" t="s">
        <v>1083</v>
      </c>
      <c r="C129" s="7" t="s">
        <v>1084</v>
      </c>
    </row>
    <row r="131" customFormat="false" ht="21.75" hidden="false" customHeight="true" outlineLevel="0" collapsed="false">
      <c r="A131" s="4" t="s">
        <v>1085</v>
      </c>
      <c r="B131" s="4"/>
      <c r="C131" s="4"/>
    </row>
    <row r="132" customFormat="false" ht="15" hidden="false" customHeight="true" outlineLevel="0" collapsed="false">
      <c r="A132" s="19" t="s">
        <v>1086</v>
      </c>
      <c r="B132" s="19"/>
      <c r="C132" s="19"/>
    </row>
    <row r="133" customFormat="false" ht="15" hidden="false" customHeight="true" outlineLevel="0" collapsed="false">
      <c r="A133" s="19"/>
      <c r="B133" s="19"/>
      <c r="C133" s="19"/>
    </row>
    <row r="134" customFormat="false" ht="15" hidden="false" customHeight="true" outlineLevel="0" collapsed="false">
      <c r="A134" s="19"/>
      <c r="B134" s="19"/>
      <c r="C134" s="19"/>
    </row>
    <row r="135" customFormat="false" ht="15" hidden="false" customHeight="true" outlineLevel="0" collapsed="false">
      <c r="A135" s="19"/>
      <c r="B135" s="19"/>
      <c r="C135" s="19"/>
    </row>
    <row r="137" customFormat="false" ht="21.75" hidden="false" customHeight="true" outlineLevel="0" collapsed="false">
      <c r="A137" s="4" t="s">
        <v>1087</v>
      </c>
      <c r="B137" s="4"/>
      <c r="C137" s="4"/>
    </row>
    <row r="138" customFormat="false" ht="15" hidden="false" customHeight="true" outlineLevel="0" collapsed="false">
      <c r="A138" s="55" t="s">
        <v>1088</v>
      </c>
      <c r="B138" s="55"/>
      <c r="C138" s="55"/>
    </row>
    <row r="139" customFormat="false" ht="15" hidden="false" customHeight="true" outlineLevel="0" collapsed="false">
      <c r="A139" s="55"/>
      <c r="B139" s="55"/>
      <c r="C139" s="55"/>
    </row>
    <row r="140" customFormat="false" ht="15" hidden="false" customHeight="true" outlineLevel="0" collapsed="false">
      <c r="A140" s="55"/>
      <c r="B140" s="55"/>
      <c r="C140" s="55"/>
    </row>
    <row r="141" customFormat="false" ht="15" hidden="false" customHeight="true" outlineLevel="0" collapsed="false">
      <c r="A141" s="55"/>
      <c r="B141" s="55"/>
      <c r="C141" s="55"/>
    </row>
    <row r="142" customFormat="false" ht="15" hidden="false" customHeight="true" outlineLevel="0" collapsed="false">
      <c r="A142" s="55"/>
      <c r="B142" s="55"/>
      <c r="C142" s="55"/>
    </row>
    <row r="143" customFormat="false" ht="15" hidden="false" customHeight="true" outlineLevel="0" collapsed="false">
      <c r="A143" s="55"/>
      <c r="B143" s="55"/>
      <c r="C143" s="55"/>
    </row>
    <row r="144" customFormat="false" ht="15" hidden="false" customHeight="true" outlineLevel="0" collapsed="false">
      <c r="A144" s="55"/>
      <c r="B144" s="55"/>
      <c r="C144" s="55"/>
    </row>
    <row r="145" customFormat="false" ht="15" hidden="false" customHeight="true" outlineLevel="0" collapsed="false">
      <c r="A145" s="55"/>
      <c r="B145" s="55"/>
      <c r="C145" s="55"/>
    </row>
  </sheetData>
  <mergeCells count="51">
    <mergeCell ref="A1:H1"/>
    <mergeCell ref="A2:H2"/>
    <mergeCell ref="A4:H4"/>
    <mergeCell ref="A5:C5"/>
    <mergeCell ref="A6:C6"/>
    <mergeCell ref="A8:C8"/>
    <mergeCell ref="A9:C11"/>
    <mergeCell ref="A18:C18"/>
    <mergeCell ref="B19:C19"/>
    <mergeCell ref="B20:C20"/>
    <mergeCell ref="A22:C22"/>
    <mergeCell ref="A23:C26"/>
    <mergeCell ref="A28:H28"/>
    <mergeCell ref="A29:D29"/>
    <mergeCell ref="A30:D30"/>
    <mergeCell ref="A32:D32"/>
    <mergeCell ref="A33:D36"/>
    <mergeCell ref="A38:D38"/>
    <mergeCell ref="A49:D49"/>
    <mergeCell ref="A50:D54"/>
    <mergeCell ref="A56:D56"/>
    <mergeCell ref="A63:D63"/>
    <mergeCell ref="B65:D65"/>
    <mergeCell ref="B66:D66"/>
    <mergeCell ref="B67:D67"/>
    <mergeCell ref="B68:D68"/>
    <mergeCell ref="B69:D69"/>
    <mergeCell ref="B70:D70"/>
    <mergeCell ref="B71:D71"/>
    <mergeCell ref="B72:D72"/>
    <mergeCell ref="B73:D73"/>
    <mergeCell ref="A75:D76"/>
    <mergeCell ref="A78:H78"/>
    <mergeCell ref="A79:C79"/>
    <mergeCell ref="A80:C80"/>
    <mergeCell ref="A82:C82"/>
    <mergeCell ref="A83:C87"/>
    <mergeCell ref="A89:C89"/>
    <mergeCell ref="A94:C97"/>
    <mergeCell ref="A99:C99"/>
    <mergeCell ref="A100:C105"/>
    <mergeCell ref="A107:C107"/>
    <mergeCell ref="A108:C110"/>
    <mergeCell ref="A112:H112"/>
    <mergeCell ref="A113:C113"/>
    <mergeCell ref="A114:C114"/>
    <mergeCell ref="A116:C116"/>
    <mergeCell ref="A131:C131"/>
    <mergeCell ref="A132:C135"/>
    <mergeCell ref="A137:C137"/>
    <mergeCell ref="A138:C1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2"/>
    <col collapsed="false" customWidth="true" hidden="false" outlineLevel="0" max="3" min="3" style="1" width="22"/>
    <col collapsed="false" customWidth="true" hidden="false" outlineLevel="0" max="4" min="4" style="1" width="32"/>
    <col collapsed="false" customWidth="true" hidden="false" outlineLevel="0" max="5" min="5" style="1" width="34"/>
    <col collapsed="false" customWidth="true" hidden="false" outlineLevel="0" max="6" min="6" style="1" width="16"/>
    <col collapsed="false" customWidth="true" hidden="false" outlineLevel="0" max="7" min="7" style="1" width="34"/>
    <col collapsed="false" customWidth="true" hidden="false" outlineLevel="0" max="8" min="8" style="1" width="30"/>
  </cols>
  <sheetData>
    <row r="1" customFormat="false" ht="31.5" hidden="false" customHeight="true" outlineLevel="0" collapsed="false">
      <c r="A1" s="2" t="s">
        <v>1089</v>
      </c>
      <c r="B1" s="2"/>
      <c r="C1" s="2"/>
      <c r="D1" s="2"/>
      <c r="E1" s="2"/>
      <c r="F1" s="2"/>
      <c r="G1" s="2"/>
      <c r="H1" s="2"/>
    </row>
    <row r="2" customFormat="false" ht="18" hidden="false" customHeight="true" outlineLevel="0" collapsed="false">
      <c r="A2" s="3" t="s">
        <v>144</v>
      </c>
      <c r="B2" s="3"/>
      <c r="C2" s="3"/>
      <c r="D2" s="3"/>
      <c r="E2" s="3"/>
      <c r="F2" s="3"/>
      <c r="G2" s="3"/>
      <c r="H2" s="3"/>
    </row>
    <row r="4" customFormat="false" ht="21.75" hidden="false" customHeight="true" outlineLevel="0" collapsed="false">
      <c r="A4" s="4" t="s">
        <v>1090</v>
      </c>
      <c r="B4" s="4"/>
      <c r="C4" s="4"/>
      <c r="D4" s="4"/>
      <c r="E4" s="4"/>
      <c r="F4" s="4"/>
      <c r="G4" s="4"/>
      <c r="H4" s="4"/>
    </row>
    <row r="5" customFormat="false" ht="31.5" hidden="false" customHeight="true" outlineLevel="0" collapsed="false">
      <c r="A5" s="2" t="s">
        <v>1091</v>
      </c>
      <c r="B5" s="2"/>
      <c r="C5" s="2"/>
      <c r="D5" s="2"/>
      <c r="E5" s="2"/>
      <c r="F5" s="2"/>
      <c r="G5" s="2"/>
      <c r="H5" s="2"/>
    </row>
    <row r="6" customFormat="false" ht="18" hidden="false" customHeight="true" outlineLevel="0" collapsed="false">
      <c r="A6" s="3" t="s">
        <v>1092</v>
      </c>
      <c r="B6" s="3"/>
      <c r="C6" s="3"/>
      <c r="D6" s="3"/>
      <c r="E6" s="3"/>
      <c r="F6" s="3"/>
      <c r="G6" s="3"/>
      <c r="H6" s="3"/>
    </row>
    <row r="8" customFormat="false" ht="21.75" hidden="false" customHeight="true" outlineLevel="0" collapsed="false">
      <c r="A8" s="4" t="s">
        <v>1093</v>
      </c>
      <c r="B8" s="4"/>
      <c r="C8" s="4"/>
      <c r="D8" s="4"/>
      <c r="E8" s="4"/>
      <c r="F8" s="4"/>
      <c r="G8" s="4"/>
      <c r="H8" s="4"/>
    </row>
    <row r="9" customFormat="false" ht="30" hidden="false" customHeight="true" outlineLevel="0" collapsed="false">
      <c r="A9" s="13" t="s">
        <v>148</v>
      </c>
      <c r="B9" s="13" t="s">
        <v>149</v>
      </c>
      <c r="C9" s="13" t="s">
        <v>150</v>
      </c>
      <c r="D9" s="13" t="s">
        <v>151</v>
      </c>
      <c r="E9" s="13" t="s">
        <v>152</v>
      </c>
      <c r="F9" s="13" t="s">
        <v>153</v>
      </c>
      <c r="G9" s="13" t="s">
        <v>154</v>
      </c>
      <c r="H9" s="13" t="s">
        <v>155</v>
      </c>
    </row>
    <row r="10" customFormat="false" ht="109.5" hidden="false" customHeight="true" outlineLevel="0" collapsed="false">
      <c r="A10" s="17" t="s">
        <v>1094</v>
      </c>
      <c r="B10" s="17" t="n">
        <v>99</v>
      </c>
      <c r="C10" s="17" t="s">
        <v>1095</v>
      </c>
      <c r="D10" s="7" t="s">
        <v>1096</v>
      </c>
      <c r="E10" s="7" t="s">
        <v>1097</v>
      </c>
      <c r="F10" s="17" t="s">
        <v>1098</v>
      </c>
      <c r="G10" s="7" t="s">
        <v>1099</v>
      </c>
      <c r="H10" s="17" t="s">
        <v>1100</v>
      </c>
    </row>
    <row r="11" customFormat="false" ht="109.5" hidden="false" customHeight="true" outlineLevel="0" collapsed="false">
      <c r="A11" s="17" t="s">
        <v>1101</v>
      </c>
      <c r="B11" s="17" t="n">
        <v>77</v>
      </c>
      <c r="C11" s="17" t="s">
        <v>1102</v>
      </c>
      <c r="D11" s="7" t="s">
        <v>1103</v>
      </c>
      <c r="E11" s="7" t="s">
        <v>1104</v>
      </c>
      <c r="F11" s="17" t="s">
        <v>1105</v>
      </c>
      <c r="G11" s="7" t="s">
        <v>1106</v>
      </c>
      <c r="H11" s="17"/>
    </row>
    <row r="13" customFormat="false" ht="21.75" hidden="false" customHeight="true" outlineLevel="0" collapsed="false">
      <c r="A13" s="4" t="s">
        <v>1107</v>
      </c>
      <c r="B13" s="4"/>
      <c r="C13" s="4"/>
      <c r="D13" s="4"/>
      <c r="E13" s="4"/>
      <c r="F13" s="4"/>
      <c r="G13" s="4"/>
      <c r="H13" s="4"/>
    </row>
    <row r="14" customFormat="false" ht="69.75" hidden="false" customHeight="true" outlineLevel="0" collapsed="false">
      <c r="A14" s="17" t="s">
        <v>1108</v>
      </c>
      <c r="B14" s="7" t="s">
        <v>1109</v>
      </c>
      <c r="C14" s="7"/>
      <c r="D14" s="7"/>
      <c r="E14" s="7"/>
      <c r="F14" s="7"/>
      <c r="G14" s="7"/>
      <c r="H14" s="7"/>
    </row>
    <row r="15" customFormat="false" ht="69.75" hidden="false" customHeight="true" outlineLevel="0" collapsed="false">
      <c r="A15" s="17" t="s">
        <v>1110</v>
      </c>
      <c r="B15" s="7" t="s">
        <v>1111</v>
      </c>
      <c r="C15" s="7"/>
      <c r="D15" s="7"/>
      <c r="E15" s="7"/>
      <c r="F15" s="7"/>
      <c r="G15" s="7"/>
      <c r="H15" s="7"/>
    </row>
    <row r="16" customFormat="false" ht="69.75" hidden="false" customHeight="true" outlineLevel="0" collapsed="false">
      <c r="A16" s="17" t="s">
        <v>1112</v>
      </c>
      <c r="B16" s="7" t="s">
        <v>1113</v>
      </c>
      <c r="C16" s="7"/>
      <c r="D16" s="7"/>
      <c r="E16" s="7"/>
      <c r="F16" s="7"/>
      <c r="G16" s="7"/>
      <c r="H16" s="7"/>
    </row>
    <row r="17" customFormat="false" ht="69.75" hidden="false" customHeight="true" outlineLevel="0" collapsed="false">
      <c r="A17" s="17" t="s">
        <v>1114</v>
      </c>
      <c r="B17" s="7" t="s">
        <v>1115</v>
      </c>
      <c r="C17" s="7"/>
      <c r="D17" s="7"/>
      <c r="E17" s="7"/>
      <c r="F17" s="7"/>
      <c r="G17" s="7"/>
      <c r="H17" s="7"/>
    </row>
  </sheetData>
  <mergeCells count="11">
    <mergeCell ref="A1:H1"/>
    <mergeCell ref="A2:H2"/>
    <mergeCell ref="A4:H4"/>
    <mergeCell ref="A5:H5"/>
    <mergeCell ref="A6:H6"/>
    <mergeCell ref="A8:H8"/>
    <mergeCell ref="A13:H13"/>
    <mergeCell ref="B14:H14"/>
    <mergeCell ref="B15:H15"/>
    <mergeCell ref="B16:H16"/>
    <mergeCell ref="B17:H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6"/>
    <col collapsed="false" customWidth="true" hidden="false" outlineLevel="0" max="3" min="3" style="1" width="8"/>
    <col collapsed="false" customWidth="true" hidden="false" outlineLevel="0" max="4" min="4" style="1" width="20"/>
    <col collapsed="false" customWidth="true" hidden="false" outlineLevel="0" max="5" min="5" style="1" width="10"/>
    <col collapsed="false" customWidth="true" hidden="false" outlineLevel="0" max="6" min="6" style="1" width="16"/>
    <col collapsed="false" customWidth="true" hidden="false" outlineLevel="0" max="7" min="7" style="1" width="26"/>
    <col collapsed="false" customWidth="true" hidden="false" outlineLevel="0" max="8" min="8" style="1" width="34"/>
  </cols>
  <sheetData>
    <row r="1" customFormat="false" ht="31.5" hidden="false" customHeight="true" outlineLevel="0" collapsed="false">
      <c r="A1" s="2" t="s">
        <v>1116</v>
      </c>
      <c r="B1" s="2"/>
      <c r="C1" s="2"/>
      <c r="D1" s="2"/>
      <c r="E1" s="2"/>
      <c r="F1" s="2"/>
      <c r="G1" s="2"/>
      <c r="H1" s="2"/>
    </row>
    <row r="2" customFormat="false" ht="18" hidden="false" customHeight="true" outlineLevel="0" collapsed="false">
      <c r="A2" s="3" t="s">
        <v>347</v>
      </c>
      <c r="B2" s="3"/>
      <c r="C2" s="3"/>
      <c r="D2" s="3"/>
      <c r="E2" s="3"/>
      <c r="F2" s="3"/>
      <c r="G2" s="3"/>
      <c r="H2" s="3"/>
    </row>
    <row r="4" customFormat="false" ht="21.75" hidden="false" customHeight="true" outlineLevel="0" collapsed="false">
      <c r="A4" s="4" t="s">
        <v>1117</v>
      </c>
      <c r="B4" s="4"/>
      <c r="C4" s="4"/>
      <c r="D4" s="4"/>
      <c r="E4" s="4"/>
      <c r="F4" s="4"/>
      <c r="G4" s="4"/>
      <c r="H4" s="4"/>
    </row>
    <row r="5" customFormat="false" ht="31.5" hidden="false" customHeight="true" outlineLevel="0" collapsed="false">
      <c r="A5" s="2" t="s">
        <v>1118</v>
      </c>
      <c r="B5" s="2"/>
      <c r="C5" s="2"/>
      <c r="D5" s="2"/>
      <c r="E5" s="2"/>
      <c r="F5" s="2"/>
      <c r="G5" s="2"/>
      <c r="H5" s="2"/>
    </row>
    <row r="6" customFormat="false" ht="18" hidden="false" customHeight="true" outlineLevel="0" collapsed="false">
      <c r="A6" s="3" t="s">
        <v>1119</v>
      </c>
      <c r="B6" s="3"/>
      <c r="C6" s="3"/>
      <c r="D6" s="3"/>
      <c r="E6" s="3"/>
      <c r="F6" s="3"/>
      <c r="G6" s="3"/>
      <c r="H6" s="3"/>
    </row>
    <row r="8" customFormat="false" ht="21.75" hidden="false" customHeight="true" outlineLevel="0" collapsed="false">
      <c r="A8" s="4" t="s">
        <v>1120</v>
      </c>
      <c r="B8" s="4"/>
      <c r="C8" s="4"/>
      <c r="D8" s="4"/>
      <c r="E8" s="4"/>
      <c r="F8" s="4"/>
      <c r="G8" s="4"/>
      <c r="H8" s="4"/>
    </row>
    <row r="9" customFormat="false" ht="49.5" hidden="false" customHeight="true" outlineLevel="0" collapsed="false">
      <c r="A9" s="17" t="s">
        <v>1121</v>
      </c>
      <c r="B9" s="7" t="s">
        <v>1122</v>
      </c>
      <c r="C9" s="7"/>
      <c r="D9" s="7"/>
      <c r="E9" s="7"/>
      <c r="F9" s="7"/>
      <c r="G9" s="7"/>
      <c r="H9" s="7"/>
    </row>
    <row r="10" customFormat="false" ht="49.5" hidden="false" customHeight="true" outlineLevel="0" collapsed="false">
      <c r="A10" s="17" t="s">
        <v>1123</v>
      </c>
      <c r="B10" s="7" t="s">
        <v>1124</v>
      </c>
      <c r="C10" s="7"/>
      <c r="D10" s="7"/>
      <c r="E10" s="7"/>
      <c r="F10" s="7"/>
      <c r="G10" s="7"/>
      <c r="H10" s="7"/>
    </row>
    <row r="11" customFormat="false" ht="49.5" hidden="false" customHeight="true" outlineLevel="0" collapsed="false">
      <c r="A11" s="17" t="s">
        <v>1125</v>
      </c>
      <c r="B11" s="7" t="s">
        <v>1126</v>
      </c>
      <c r="C11" s="7"/>
      <c r="D11" s="7"/>
      <c r="E11" s="7"/>
      <c r="F11" s="7"/>
      <c r="G11" s="7"/>
      <c r="H11" s="7"/>
    </row>
    <row r="13" customFormat="false" ht="21.75" hidden="false" customHeight="true" outlineLevel="0" collapsed="false">
      <c r="A13" s="4" t="s">
        <v>1127</v>
      </c>
      <c r="B13" s="4"/>
      <c r="C13" s="4"/>
      <c r="D13" s="4"/>
      <c r="E13" s="4"/>
      <c r="F13" s="4"/>
      <c r="G13" s="4"/>
      <c r="H13" s="4"/>
    </row>
    <row r="14" customFormat="false" ht="30" hidden="false" customHeight="true" outlineLevel="0" collapsed="false">
      <c r="A14" s="13" t="s">
        <v>351</v>
      </c>
      <c r="B14" s="13" t="s">
        <v>1128</v>
      </c>
      <c r="C14" s="13" t="s">
        <v>1129</v>
      </c>
      <c r="D14" s="13" t="s">
        <v>1130</v>
      </c>
      <c r="E14" s="13" t="s">
        <v>1131</v>
      </c>
      <c r="F14" s="13" t="s">
        <v>652</v>
      </c>
      <c r="G14" s="13" t="s">
        <v>1132</v>
      </c>
      <c r="H14" s="13" t="s">
        <v>7</v>
      </c>
    </row>
    <row r="15" customFormat="false" ht="36" hidden="false" customHeight="true" outlineLevel="0" collapsed="false">
      <c r="A15" s="31" t="s">
        <v>358</v>
      </c>
      <c r="B15" s="56" t="s">
        <v>1133</v>
      </c>
      <c r="C15" s="31" t="s">
        <v>1134</v>
      </c>
      <c r="D15" s="31" t="s">
        <v>1135</v>
      </c>
      <c r="E15" s="31" t="s">
        <v>1135</v>
      </c>
      <c r="F15" s="31" t="s">
        <v>1136</v>
      </c>
      <c r="G15" s="56" t="s">
        <v>1137</v>
      </c>
      <c r="H15" s="56" t="s">
        <v>1138</v>
      </c>
    </row>
    <row r="16" customFormat="false" ht="36" hidden="false" customHeight="true" outlineLevel="0" collapsed="false">
      <c r="A16" s="17" t="s">
        <v>1139</v>
      </c>
      <c r="B16" s="7" t="s">
        <v>1140</v>
      </c>
      <c r="C16" s="17" t="s">
        <v>1134</v>
      </c>
      <c r="D16" s="17" t="s">
        <v>1134</v>
      </c>
      <c r="E16" s="17" t="s">
        <v>1134</v>
      </c>
      <c r="F16" s="17" t="s">
        <v>1141</v>
      </c>
      <c r="G16" s="7" t="s">
        <v>1142</v>
      </c>
      <c r="H16" s="7" t="s">
        <v>1143</v>
      </c>
    </row>
    <row r="17" customFormat="false" ht="36" hidden="false" customHeight="true" outlineLevel="0" collapsed="false">
      <c r="A17" s="17" t="s">
        <v>1144</v>
      </c>
      <c r="B17" s="7" t="s">
        <v>1145</v>
      </c>
      <c r="C17" s="17" t="s">
        <v>1134</v>
      </c>
      <c r="D17" s="17" t="s">
        <v>1134</v>
      </c>
      <c r="E17" s="17" t="s">
        <v>1134</v>
      </c>
      <c r="F17" s="17" t="s">
        <v>1146</v>
      </c>
      <c r="G17" s="7" t="s">
        <v>1147</v>
      </c>
      <c r="H17" s="7" t="s">
        <v>1148</v>
      </c>
    </row>
    <row r="18" customFormat="false" ht="36" hidden="false" customHeight="true" outlineLevel="0" collapsed="false">
      <c r="A18" s="17" t="s">
        <v>1149</v>
      </c>
      <c r="B18" s="7" t="s">
        <v>1150</v>
      </c>
      <c r="C18" s="17" t="s">
        <v>1135</v>
      </c>
      <c r="D18" s="17" t="s">
        <v>1134</v>
      </c>
      <c r="E18" s="17" t="s">
        <v>1134</v>
      </c>
      <c r="F18" s="17" t="s">
        <v>1151</v>
      </c>
      <c r="G18" s="7" t="s">
        <v>1152</v>
      </c>
      <c r="H18" s="7" t="s">
        <v>1153</v>
      </c>
    </row>
    <row r="19" customFormat="false" ht="36" hidden="false" customHeight="true" outlineLevel="0" collapsed="false">
      <c r="A19" s="17" t="s">
        <v>362</v>
      </c>
      <c r="B19" s="7" t="s">
        <v>1154</v>
      </c>
      <c r="C19" s="17" t="s">
        <v>1134</v>
      </c>
      <c r="D19" s="17" t="s">
        <v>1155</v>
      </c>
      <c r="E19" s="17" t="s">
        <v>1156</v>
      </c>
      <c r="F19" s="17" t="s">
        <v>1157</v>
      </c>
      <c r="G19" s="7" t="s">
        <v>1158</v>
      </c>
      <c r="H19" s="7" t="s">
        <v>1159</v>
      </c>
    </row>
    <row r="20" customFormat="false" ht="36" hidden="false" customHeight="true" outlineLevel="0" collapsed="false">
      <c r="A20" s="17" t="s">
        <v>1160</v>
      </c>
      <c r="B20" s="7" t="s">
        <v>1161</v>
      </c>
      <c r="C20" s="17" t="s">
        <v>1162</v>
      </c>
      <c r="D20" s="17" t="s">
        <v>1162</v>
      </c>
      <c r="E20" s="17" t="s">
        <v>1163</v>
      </c>
      <c r="F20" s="17" t="s">
        <v>1164</v>
      </c>
      <c r="G20" s="7" t="s">
        <v>1165</v>
      </c>
      <c r="H20" s="7" t="s">
        <v>1166</v>
      </c>
    </row>
    <row r="21" customFormat="false" ht="36" hidden="false" customHeight="true" outlineLevel="0" collapsed="false">
      <c r="A21" s="17" t="s">
        <v>1167</v>
      </c>
      <c r="B21" s="7" t="s">
        <v>1168</v>
      </c>
      <c r="C21" s="17" t="s">
        <v>1169</v>
      </c>
      <c r="D21" s="17" t="s">
        <v>1162</v>
      </c>
      <c r="E21" s="17" t="s">
        <v>1162</v>
      </c>
      <c r="F21" s="17" t="s">
        <v>1170</v>
      </c>
      <c r="G21" s="7" t="s">
        <v>1171</v>
      </c>
      <c r="H21" s="7" t="s">
        <v>1172</v>
      </c>
    </row>
  </sheetData>
  <mergeCells count="10">
    <mergeCell ref="A1:H1"/>
    <mergeCell ref="A2:H2"/>
    <mergeCell ref="A4:H4"/>
    <mergeCell ref="A5:H5"/>
    <mergeCell ref="A6:H6"/>
    <mergeCell ref="A8:H8"/>
    <mergeCell ref="B9:H9"/>
    <mergeCell ref="B10:H10"/>
    <mergeCell ref="B11:H11"/>
    <mergeCell ref="A13:H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0"/>
    <col collapsed="false" customWidth="true" hidden="false" outlineLevel="0" max="3" min="3" style="1" width="18"/>
    <col collapsed="false" customWidth="true" hidden="false" outlineLevel="0" max="4" min="4" style="1" width="14"/>
    <col collapsed="false" customWidth="true" hidden="false" outlineLevel="0" max="5" min="5" style="1" width="20"/>
    <col collapsed="false" customWidth="true" hidden="false" outlineLevel="0" max="6" min="6" style="1" width="34"/>
    <col collapsed="false" customWidth="true" hidden="false" outlineLevel="0" max="7" min="7" style="1" width="12"/>
    <col collapsed="false" customWidth="true" hidden="false" outlineLevel="0" max="8" min="8" style="1" width="34"/>
  </cols>
  <sheetData>
    <row r="1" customFormat="false" ht="31.5" hidden="false" customHeight="true" outlineLevel="0" collapsed="false">
      <c r="A1" s="2" t="s">
        <v>1173</v>
      </c>
      <c r="B1" s="2"/>
      <c r="C1" s="2"/>
      <c r="D1" s="2"/>
      <c r="E1" s="2"/>
      <c r="F1" s="2"/>
      <c r="G1" s="2"/>
      <c r="H1" s="2"/>
    </row>
    <row r="2" customFormat="false" ht="18" hidden="false" customHeight="true" outlineLevel="0" collapsed="false">
      <c r="A2" s="3" t="s">
        <v>607</v>
      </c>
      <c r="B2" s="3"/>
      <c r="C2" s="3"/>
      <c r="D2" s="3"/>
      <c r="E2" s="3"/>
      <c r="F2" s="3"/>
      <c r="G2" s="3"/>
      <c r="H2" s="3"/>
    </row>
    <row r="4" customFormat="false" ht="21.75" hidden="false" customHeight="true" outlineLevel="0" collapsed="false">
      <c r="A4" s="4" t="s">
        <v>1174</v>
      </c>
      <c r="B4" s="4"/>
      <c r="C4" s="4"/>
      <c r="D4" s="4"/>
      <c r="E4" s="4"/>
      <c r="F4" s="4"/>
      <c r="G4" s="4"/>
      <c r="H4" s="4"/>
    </row>
    <row r="5" customFormat="false" ht="31.5" hidden="false" customHeight="true" outlineLevel="0" collapsed="false">
      <c r="A5" s="2" t="s">
        <v>1175</v>
      </c>
      <c r="B5" s="2"/>
      <c r="C5" s="2"/>
      <c r="D5" s="2"/>
      <c r="E5" s="2"/>
      <c r="F5" s="2"/>
      <c r="G5" s="2"/>
      <c r="H5" s="2"/>
    </row>
    <row r="6" customFormat="false" ht="18" hidden="false" customHeight="true" outlineLevel="0" collapsed="false">
      <c r="A6" s="3" t="s">
        <v>1176</v>
      </c>
      <c r="B6" s="3"/>
      <c r="C6" s="3"/>
      <c r="D6" s="3"/>
      <c r="E6" s="3"/>
      <c r="F6" s="3"/>
      <c r="G6" s="3"/>
      <c r="H6" s="3"/>
    </row>
    <row r="8" customFormat="false" ht="21.75" hidden="false" customHeight="true" outlineLevel="0" collapsed="false">
      <c r="A8" s="4" t="s">
        <v>1177</v>
      </c>
      <c r="B8" s="4"/>
      <c r="C8" s="4"/>
      <c r="D8" s="4"/>
      <c r="E8" s="4"/>
      <c r="F8" s="4"/>
      <c r="G8" s="4"/>
      <c r="H8" s="4"/>
    </row>
    <row r="9" customFormat="false" ht="30" hidden="false" customHeight="true" outlineLevel="0" collapsed="false">
      <c r="A9" s="13" t="s">
        <v>708</v>
      </c>
      <c r="B9" s="13" t="s">
        <v>1178</v>
      </c>
      <c r="C9" s="13" t="s">
        <v>1179</v>
      </c>
      <c r="D9" s="13" t="s">
        <v>1180</v>
      </c>
      <c r="E9" s="13" t="s">
        <v>1181</v>
      </c>
      <c r="F9" s="13" t="s">
        <v>1182</v>
      </c>
      <c r="G9" s="13" t="s">
        <v>153</v>
      </c>
      <c r="H9" s="13" t="s">
        <v>1183</v>
      </c>
    </row>
    <row r="10" customFormat="false" ht="79.5" hidden="false" customHeight="true" outlineLevel="0" collapsed="false">
      <c r="A10" s="17" t="s">
        <v>719</v>
      </c>
      <c r="B10" s="7" t="s">
        <v>1184</v>
      </c>
      <c r="C10" s="17" t="s">
        <v>1185</v>
      </c>
      <c r="D10" s="17" t="s">
        <v>1186</v>
      </c>
      <c r="E10" s="17" t="s">
        <v>1187</v>
      </c>
      <c r="F10" s="7" t="s">
        <v>1188</v>
      </c>
      <c r="G10" s="17" t="s">
        <v>1189</v>
      </c>
      <c r="H10" s="7" t="s">
        <v>1190</v>
      </c>
    </row>
    <row r="11" customFormat="false" ht="79.5" hidden="false" customHeight="true" outlineLevel="0" collapsed="false">
      <c r="A11" s="17" t="s">
        <v>1191</v>
      </c>
      <c r="B11" s="7" t="s">
        <v>1192</v>
      </c>
      <c r="C11" s="17" t="s">
        <v>1193</v>
      </c>
      <c r="D11" s="17" t="s">
        <v>1194</v>
      </c>
      <c r="E11" s="17" t="s">
        <v>1195</v>
      </c>
      <c r="F11" s="7" t="s">
        <v>1196</v>
      </c>
      <c r="G11" s="17" t="s">
        <v>1197</v>
      </c>
      <c r="H11" s="7" t="s">
        <v>1198</v>
      </c>
    </row>
    <row r="12" customFormat="false" ht="79.5" hidden="false" customHeight="true" outlineLevel="0" collapsed="false">
      <c r="A12" s="17" t="s">
        <v>627</v>
      </c>
      <c r="B12" s="7" t="s">
        <v>1199</v>
      </c>
      <c r="C12" s="17" t="s">
        <v>1200</v>
      </c>
      <c r="D12" s="17" t="s">
        <v>1201</v>
      </c>
      <c r="E12" s="17" t="s">
        <v>1202</v>
      </c>
      <c r="F12" s="7" t="s">
        <v>1203</v>
      </c>
      <c r="G12" s="17" t="s">
        <v>1204</v>
      </c>
      <c r="H12" s="7" t="s">
        <v>1205</v>
      </c>
    </row>
    <row r="14" customFormat="false" ht="21.75" hidden="false" customHeight="true" outlineLevel="0" collapsed="false">
      <c r="A14" s="4" t="s">
        <v>1206</v>
      </c>
      <c r="B14" s="4"/>
      <c r="C14" s="4"/>
      <c r="D14" s="4"/>
      <c r="E14" s="4"/>
      <c r="F14" s="4"/>
      <c r="G14" s="4"/>
      <c r="H14" s="4"/>
    </row>
    <row r="15" customFormat="false" ht="30" hidden="false" customHeight="true" outlineLevel="0" collapsed="false">
      <c r="A15" s="13" t="s">
        <v>708</v>
      </c>
      <c r="B15" s="13" t="s">
        <v>1178</v>
      </c>
      <c r="C15" s="13" t="s">
        <v>1179</v>
      </c>
      <c r="D15" s="13" t="s">
        <v>1180</v>
      </c>
      <c r="E15" s="13" t="s">
        <v>1181</v>
      </c>
      <c r="F15" s="13" t="s">
        <v>1182</v>
      </c>
      <c r="G15" s="13" t="s">
        <v>153</v>
      </c>
      <c r="H15" s="13" t="s">
        <v>1183</v>
      </c>
    </row>
    <row r="16" customFormat="false" ht="79.5" hidden="false" customHeight="true" outlineLevel="0" collapsed="false">
      <c r="A16" s="17" t="s">
        <v>614</v>
      </c>
      <c r="B16" s="7" t="s">
        <v>1207</v>
      </c>
      <c r="C16" s="17" t="s">
        <v>1208</v>
      </c>
      <c r="D16" s="17" t="s">
        <v>1209</v>
      </c>
      <c r="E16" s="17" t="s">
        <v>1210</v>
      </c>
      <c r="F16" s="7" t="s">
        <v>1211</v>
      </c>
      <c r="G16" s="17" t="s">
        <v>1212</v>
      </c>
      <c r="H16" s="7" t="s">
        <v>1213</v>
      </c>
    </row>
    <row r="17" customFormat="false" ht="79.5" hidden="false" customHeight="true" outlineLevel="0" collapsed="false">
      <c r="A17" s="17" t="s">
        <v>619</v>
      </c>
      <c r="B17" s="7" t="s">
        <v>1214</v>
      </c>
      <c r="C17" s="17" t="s">
        <v>1215</v>
      </c>
      <c r="D17" s="17" t="s">
        <v>1209</v>
      </c>
      <c r="E17" s="17" t="s">
        <v>1210</v>
      </c>
      <c r="F17" s="7" t="s">
        <v>1216</v>
      </c>
      <c r="G17" s="17" t="s">
        <v>1217</v>
      </c>
      <c r="H17" s="7" t="s">
        <v>1218</v>
      </c>
    </row>
    <row r="18" customFormat="false" ht="79.5" hidden="false" customHeight="true" outlineLevel="0" collapsed="false">
      <c r="A18" s="17" t="s">
        <v>1219</v>
      </c>
      <c r="B18" s="7" t="s">
        <v>1220</v>
      </c>
      <c r="C18" s="17" t="s">
        <v>1221</v>
      </c>
      <c r="D18" s="17" t="s">
        <v>1209</v>
      </c>
      <c r="E18" s="17" t="s">
        <v>1210</v>
      </c>
      <c r="F18" s="7" t="s">
        <v>1222</v>
      </c>
      <c r="G18" s="17" t="s">
        <v>1223</v>
      </c>
      <c r="H18" s="7"/>
    </row>
    <row r="20" customFormat="false" ht="21.75" hidden="false" customHeight="true" outlineLevel="0" collapsed="false">
      <c r="A20" s="4" t="s">
        <v>1224</v>
      </c>
      <c r="B20" s="4"/>
      <c r="C20" s="4"/>
      <c r="D20" s="4"/>
      <c r="E20" s="4"/>
      <c r="F20" s="4"/>
      <c r="G20" s="4"/>
      <c r="H20" s="4"/>
    </row>
    <row r="21" customFormat="false" ht="30" hidden="false" customHeight="true" outlineLevel="0" collapsed="false">
      <c r="A21" s="13" t="s">
        <v>86</v>
      </c>
      <c r="B21" s="13" t="s">
        <v>1225</v>
      </c>
      <c r="C21" s="13" t="s">
        <v>1226</v>
      </c>
      <c r="D21" s="13"/>
      <c r="E21" s="13"/>
      <c r="F21" s="13"/>
      <c r="G21" s="13"/>
      <c r="H21" s="13"/>
    </row>
    <row r="22" customFormat="false" ht="48" hidden="false" customHeight="true" outlineLevel="0" collapsed="false">
      <c r="A22" s="7" t="s">
        <v>1227</v>
      </c>
      <c r="B22" s="7" t="s">
        <v>1228</v>
      </c>
      <c r="C22" s="7" t="s">
        <v>1229</v>
      </c>
      <c r="D22" s="7"/>
      <c r="E22" s="7"/>
      <c r="F22" s="7"/>
      <c r="G22" s="7"/>
      <c r="H22" s="7"/>
    </row>
    <row r="23" customFormat="false" ht="48" hidden="false" customHeight="true" outlineLevel="0" collapsed="false">
      <c r="A23" s="7" t="s">
        <v>1230</v>
      </c>
      <c r="B23" s="7" t="s">
        <v>1231</v>
      </c>
      <c r="C23" s="7" t="s">
        <v>1232</v>
      </c>
      <c r="D23" s="7"/>
      <c r="E23" s="7"/>
      <c r="F23" s="7"/>
      <c r="G23" s="7"/>
      <c r="H23" s="7"/>
    </row>
    <row r="24" customFormat="false" ht="48" hidden="false" customHeight="true" outlineLevel="0" collapsed="false">
      <c r="A24" s="7" t="s">
        <v>1233</v>
      </c>
      <c r="B24" s="7" t="s">
        <v>1234</v>
      </c>
      <c r="C24" s="7" t="s">
        <v>1235</v>
      </c>
      <c r="D24" s="7"/>
      <c r="E24" s="7"/>
      <c r="F24" s="7"/>
      <c r="G24" s="7"/>
      <c r="H24" s="7"/>
    </row>
    <row r="26" customFormat="false" ht="21.75" hidden="false" customHeight="true" outlineLevel="0" collapsed="false">
      <c r="A26" s="4" t="s">
        <v>1236</v>
      </c>
      <c r="B26" s="4"/>
      <c r="C26" s="4"/>
      <c r="D26" s="4"/>
      <c r="E26" s="4"/>
      <c r="F26" s="4"/>
      <c r="G26" s="4"/>
      <c r="H26" s="4"/>
    </row>
    <row r="27" customFormat="false" ht="30" hidden="false" customHeight="true" outlineLevel="0" collapsed="false">
      <c r="A27" s="13" t="s">
        <v>708</v>
      </c>
      <c r="B27" s="13" t="s">
        <v>1237</v>
      </c>
      <c r="C27" s="13"/>
      <c r="D27" s="13"/>
      <c r="E27" s="13"/>
      <c r="F27" s="13"/>
      <c r="G27" s="13"/>
      <c r="H27" s="13"/>
    </row>
    <row r="28" customFormat="false" ht="60" hidden="false" customHeight="true" outlineLevel="0" collapsed="false">
      <c r="A28" s="17" t="s">
        <v>1238</v>
      </c>
      <c r="B28" s="7" t="s">
        <v>1239</v>
      </c>
      <c r="C28" s="7"/>
      <c r="D28" s="7"/>
      <c r="E28" s="7"/>
      <c r="F28" s="7"/>
      <c r="G28" s="7"/>
      <c r="H28" s="7"/>
    </row>
    <row r="29" customFormat="false" ht="60" hidden="false" customHeight="true" outlineLevel="0" collapsed="false">
      <c r="A29" s="17" t="s">
        <v>1191</v>
      </c>
      <c r="B29" s="7" t="s">
        <v>1240</v>
      </c>
      <c r="C29" s="7"/>
      <c r="D29" s="7"/>
      <c r="E29" s="7"/>
      <c r="F29" s="7"/>
      <c r="G29" s="7"/>
      <c r="H29" s="7"/>
    </row>
    <row r="30" customFormat="false" ht="60" hidden="false" customHeight="true" outlineLevel="0" collapsed="false">
      <c r="A30" s="17" t="s">
        <v>627</v>
      </c>
      <c r="B30" s="7" t="s">
        <v>1241</v>
      </c>
      <c r="C30" s="7"/>
      <c r="D30" s="7"/>
      <c r="E30" s="7"/>
      <c r="F30" s="7"/>
      <c r="G30" s="7"/>
      <c r="H30" s="7"/>
    </row>
    <row r="31" customFormat="false" ht="60" hidden="false" customHeight="true" outlineLevel="0" collapsed="false">
      <c r="A31" s="17" t="s">
        <v>614</v>
      </c>
      <c r="B31" s="7" t="s">
        <v>1242</v>
      </c>
      <c r="C31" s="7"/>
      <c r="D31" s="7"/>
      <c r="E31" s="7"/>
      <c r="F31" s="7"/>
      <c r="G31" s="7"/>
      <c r="H31" s="7"/>
    </row>
    <row r="32" customFormat="false" ht="60" hidden="false" customHeight="true" outlineLevel="0" collapsed="false">
      <c r="A32" s="17" t="s">
        <v>619</v>
      </c>
      <c r="B32" s="7" t="s">
        <v>1243</v>
      </c>
      <c r="C32" s="7"/>
      <c r="D32" s="7"/>
      <c r="E32" s="7"/>
      <c r="F32" s="7"/>
      <c r="G32" s="7"/>
      <c r="H32" s="7"/>
    </row>
    <row r="33" customFormat="false" ht="60" hidden="false" customHeight="true" outlineLevel="0" collapsed="false">
      <c r="A33" s="17" t="s">
        <v>1219</v>
      </c>
      <c r="B33" s="7" t="s">
        <v>1244</v>
      </c>
      <c r="C33" s="7"/>
      <c r="D33" s="7"/>
      <c r="E33" s="7"/>
      <c r="F33" s="7"/>
      <c r="G33" s="7"/>
      <c r="H33" s="7"/>
    </row>
    <row r="34" customFormat="false" ht="60" hidden="false" customHeight="true" outlineLevel="0" collapsed="false">
      <c r="A34" s="20" t="s">
        <v>1245</v>
      </c>
      <c r="B34" s="21" t="s">
        <v>1246</v>
      </c>
      <c r="C34" s="21"/>
      <c r="D34" s="21"/>
      <c r="E34" s="21"/>
      <c r="F34" s="21"/>
      <c r="G34" s="21"/>
      <c r="H34" s="21"/>
    </row>
    <row r="35" customFormat="false" ht="60" hidden="false" customHeight="true" outlineLevel="0" collapsed="false">
      <c r="A35" s="20" t="s">
        <v>1247</v>
      </c>
      <c r="B35" s="21" t="s">
        <v>1248</v>
      </c>
      <c r="C35" s="21"/>
      <c r="D35" s="21"/>
      <c r="E35" s="21"/>
      <c r="F35" s="21"/>
      <c r="G35" s="21"/>
      <c r="H35" s="21"/>
    </row>
    <row r="37" customFormat="false" ht="21.75" hidden="false" customHeight="true" outlineLevel="0" collapsed="false">
      <c r="A37" s="4" t="s">
        <v>1249</v>
      </c>
      <c r="B37" s="4"/>
      <c r="C37" s="4"/>
      <c r="D37" s="4"/>
      <c r="E37" s="4"/>
      <c r="F37" s="4"/>
      <c r="G37" s="4"/>
      <c r="H37" s="4"/>
    </row>
    <row r="38" customFormat="false" ht="27.75" hidden="false" customHeight="true" outlineLevel="0" collapsed="false">
      <c r="A38" s="22" t="s">
        <v>1250</v>
      </c>
      <c r="B38" s="22"/>
      <c r="C38" s="22"/>
      <c r="D38" s="22"/>
      <c r="E38" s="22"/>
      <c r="F38" s="22"/>
      <c r="G38" s="22"/>
      <c r="H38" s="22"/>
    </row>
    <row r="39" customFormat="false" ht="27.75" hidden="false" customHeight="true" outlineLevel="0" collapsed="false">
      <c r="A39" s="22" t="s">
        <v>1251</v>
      </c>
      <c r="B39" s="22"/>
      <c r="C39" s="22"/>
      <c r="D39" s="22"/>
      <c r="E39" s="22"/>
      <c r="F39" s="22"/>
      <c r="G39" s="22"/>
      <c r="H39" s="22"/>
    </row>
    <row r="40" customFormat="false" ht="27.75" hidden="false" customHeight="true" outlineLevel="0" collapsed="false">
      <c r="A40" s="22" t="s">
        <v>1252</v>
      </c>
      <c r="B40" s="22"/>
      <c r="C40" s="22"/>
      <c r="D40" s="22"/>
      <c r="E40" s="22"/>
      <c r="F40" s="22"/>
      <c r="G40" s="22"/>
      <c r="H40" s="22"/>
    </row>
    <row r="41" customFormat="false" ht="27.75" hidden="false" customHeight="true" outlineLevel="0" collapsed="false">
      <c r="A41" s="22" t="s">
        <v>1253</v>
      </c>
      <c r="B41" s="22"/>
      <c r="C41" s="22"/>
      <c r="D41" s="22"/>
      <c r="E41" s="22"/>
      <c r="F41" s="22"/>
      <c r="G41" s="22"/>
      <c r="H41" s="22"/>
    </row>
    <row r="42" customFormat="false" ht="27.75" hidden="false" customHeight="true" outlineLevel="0" collapsed="false">
      <c r="A42" s="22" t="s">
        <v>1254</v>
      </c>
      <c r="B42" s="22"/>
      <c r="C42" s="22"/>
      <c r="D42" s="22"/>
      <c r="E42" s="22"/>
      <c r="F42" s="22"/>
      <c r="G42" s="22"/>
      <c r="H42" s="22"/>
    </row>
    <row r="43" customFormat="false" ht="27.75" hidden="false" customHeight="true" outlineLevel="0" collapsed="false">
      <c r="A43" s="22" t="s">
        <v>1255</v>
      </c>
      <c r="B43" s="22"/>
      <c r="C43" s="22"/>
      <c r="D43" s="22"/>
      <c r="E43" s="22"/>
      <c r="F43" s="22"/>
      <c r="G43" s="22"/>
      <c r="H43" s="22"/>
    </row>
    <row r="44" customFormat="false" ht="27.75" hidden="false" customHeight="true" outlineLevel="0" collapsed="false">
      <c r="A44" s="22" t="s">
        <v>1256</v>
      </c>
      <c r="B44" s="22"/>
      <c r="C44" s="22"/>
      <c r="D44" s="22"/>
      <c r="E44" s="22"/>
      <c r="F44" s="22"/>
      <c r="G44" s="22"/>
      <c r="H44" s="22"/>
    </row>
    <row r="45" customFormat="false" ht="27.75" hidden="false" customHeight="true" outlineLevel="0" collapsed="false">
      <c r="A45" s="22" t="s">
        <v>1257</v>
      </c>
      <c r="B45" s="22"/>
      <c r="C45" s="22"/>
      <c r="D45" s="22"/>
      <c r="E45" s="22"/>
      <c r="F45" s="22"/>
      <c r="G45" s="22"/>
      <c r="H45" s="22"/>
    </row>
    <row r="46" customFormat="false" ht="27.75" hidden="false" customHeight="true" outlineLevel="0" collapsed="false">
      <c r="A46" s="22" t="s">
        <v>1258</v>
      </c>
      <c r="B46" s="22"/>
      <c r="C46" s="22"/>
      <c r="D46" s="22"/>
      <c r="E46" s="22"/>
      <c r="F46" s="22"/>
      <c r="G46" s="22"/>
      <c r="H46" s="22"/>
    </row>
  </sheetData>
  <mergeCells count="30">
    <mergeCell ref="A1:H1"/>
    <mergeCell ref="A2:H2"/>
    <mergeCell ref="A4:H4"/>
    <mergeCell ref="A5:H5"/>
    <mergeCell ref="A6:H6"/>
    <mergeCell ref="A8:H8"/>
    <mergeCell ref="A14:H14"/>
    <mergeCell ref="A20:H20"/>
    <mergeCell ref="C22:H22"/>
    <mergeCell ref="C23:H23"/>
    <mergeCell ref="C24:H24"/>
    <mergeCell ref="A26:H26"/>
    <mergeCell ref="B28:H28"/>
    <mergeCell ref="B29:H29"/>
    <mergeCell ref="B30:H30"/>
    <mergeCell ref="B31:H31"/>
    <mergeCell ref="B32:H32"/>
    <mergeCell ref="B33:H33"/>
    <mergeCell ref="B34:H34"/>
    <mergeCell ref="B35:H35"/>
    <mergeCell ref="A37:H37"/>
    <mergeCell ref="A38:H38"/>
    <mergeCell ref="A39:H39"/>
    <mergeCell ref="A40:H40"/>
    <mergeCell ref="A41:H41"/>
    <mergeCell ref="A42:H42"/>
    <mergeCell ref="A43:H43"/>
    <mergeCell ref="A44:H44"/>
    <mergeCell ref="A45:H45"/>
    <mergeCell ref="A46:H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0"/>
    <col collapsed="false" customWidth="true" hidden="false" outlineLevel="0" max="3" min="3" style="1" width="18"/>
    <col collapsed="false" customWidth="true" hidden="false" outlineLevel="0" max="4" min="4" style="1" width="14"/>
    <col collapsed="false" customWidth="true" hidden="false" outlineLevel="0" max="5" min="5" style="1" width="20"/>
    <col collapsed="false" customWidth="true" hidden="false" outlineLevel="0" max="6" min="6" style="1" width="34"/>
    <col collapsed="false" customWidth="true" hidden="false" outlineLevel="0" max="7" min="7" style="1" width="12"/>
    <col collapsed="false" customWidth="true" hidden="false" outlineLevel="0" max="8" min="8" style="1" width="34"/>
  </cols>
  <sheetData>
    <row r="1" customFormat="false" ht="31.5" hidden="false" customHeight="true" outlineLevel="0" collapsed="false">
      <c r="A1" s="2" t="s">
        <v>1259</v>
      </c>
      <c r="B1" s="2"/>
      <c r="C1" s="2"/>
      <c r="D1" s="2"/>
      <c r="E1" s="2"/>
      <c r="F1" s="2"/>
      <c r="G1" s="2"/>
      <c r="H1" s="2"/>
    </row>
    <row r="2" customFormat="false" ht="18" hidden="false" customHeight="true" outlineLevel="0" collapsed="false">
      <c r="A2" s="3" t="s">
        <v>703</v>
      </c>
      <c r="B2" s="3"/>
      <c r="C2" s="3"/>
      <c r="D2" s="3"/>
      <c r="E2" s="3"/>
      <c r="F2" s="3"/>
      <c r="G2" s="3"/>
      <c r="H2" s="3"/>
    </row>
    <row r="4" customFormat="false" ht="21.75" hidden="false" customHeight="true" outlineLevel="0" collapsed="false">
      <c r="A4" s="4" t="s">
        <v>1174</v>
      </c>
      <c r="B4" s="4"/>
      <c r="C4" s="4"/>
      <c r="D4" s="4"/>
      <c r="E4" s="4"/>
      <c r="F4" s="4"/>
      <c r="G4" s="4"/>
      <c r="H4" s="4"/>
    </row>
    <row r="5" customFormat="false" ht="21.75" hidden="false" customHeight="true" outlineLevel="0" collapsed="false">
      <c r="A5" s="4" t="s">
        <v>1260</v>
      </c>
      <c r="B5" s="4"/>
      <c r="C5" s="4"/>
      <c r="D5" s="4"/>
      <c r="E5" s="4"/>
      <c r="F5" s="4"/>
      <c r="G5" s="4"/>
      <c r="H5" s="4"/>
    </row>
    <row r="6" customFormat="false" ht="30" hidden="false" customHeight="true" outlineLevel="0" collapsed="false">
      <c r="A6" s="13" t="s">
        <v>766</v>
      </c>
      <c r="B6" s="13" t="s">
        <v>767</v>
      </c>
      <c r="C6" s="13" t="s">
        <v>768</v>
      </c>
      <c r="D6" s="13"/>
      <c r="E6" s="13"/>
      <c r="F6" s="13"/>
      <c r="G6" s="13"/>
      <c r="H6" s="13"/>
    </row>
    <row r="7" customFormat="false" ht="49.5" hidden="false" customHeight="true" outlineLevel="0" collapsed="false">
      <c r="A7" s="17" t="s">
        <v>769</v>
      </c>
      <c r="B7" s="7" t="s">
        <v>1261</v>
      </c>
      <c r="C7" s="7" t="s">
        <v>1262</v>
      </c>
      <c r="D7" s="7"/>
      <c r="E7" s="7"/>
      <c r="F7" s="7"/>
      <c r="G7" s="7"/>
      <c r="H7" s="7"/>
    </row>
    <row r="8" customFormat="false" ht="49.5" hidden="false" customHeight="true" outlineLevel="0" collapsed="false">
      <c r="A8" s="17" t="s">
        <v>95</v>
      </c>
      <c r="B8" s="7" t="s">
        <v>1263</v>
      </c>
      <c r="C8" s="7" t="s">
        <v>1264</v>
      </c>
      <c r="D8" s="7"/>
      <c r="E8" s="7"/>
      <c r="F8" s="7"/>
      <c r="G8" s="7"/>
      <c r="H8" s="7"/>
    </row>
    <row r="9" customFormat="false" ht="49.5" hidden="false" customHeight="true" outlineLevel="0" collapsed="false">
      <c r="A9" s="17" t="s">
        <v>93</v>
      </c>
      <c r="B9" s="7" t="s">
        <v>1265</v>
      </c>
      <c r="C9" s="7" t="s">
        <v>1266</v>
      </c>
      <c r="D9" s="7"/>
      <c r="E9" s="7"/>
      <c r="F9" s="7"/>
      <c r="G9" s="7"/>
      <c r="H9" s="7"/>
    </row>
    <row r="10" customFormat="false" ht="49.5" hidden="false" customHeight="true" outlineLevel="0" collapsed="false">
      <c r="A10" s="17" t="s">
        <v>776</v>
      </c>
      <c r="B10" s="7" t="s">
        <v>1267</v>
      </c>
      <c r="C10" s="7" t="s">
        <v>1268</v>
      </c>
      <c r="D10" s="7"/>
      <c r="E10" s="7"/>
      <c r="F10" s="7"/>
      <c r="G10" s="7"/>
      <c r="H10" s="7"/>
    </row>
    <row r="11" customFormat="false" ht="49.5" hidden="false" customHeight="true" outlineLevel="0" collapsed="false">
      <c r="A11" s="17" t="s">
        <v>779</v>
      </c>
      <c r="B11" s="7" t="s">
        <v>1269</v>
      </c>
      <c r="C11" s="7" t="s">
        <v>1270</v>
      </c>
      <c r="D11" s="7"/>
      <c r="E11" s="7"/>
      <c r="F11" s="7"/>
      <c r="G11" s="7"/>
      <c r="H11" s="7"/>
    </row>
  </sheetData>
  <mergeCells count="9">
    <mergeCell ref="A1:H1"/>
    <mergeCell ref="A2:H2"/>
    <mergeCell ref="A4:H4"/>
    <mergeCell ref="A5:H5"/>
    <mergeCell ref="C7:H7"/>
    <mergeCell ref="C8:H8"/>
    <mergeCell ref="C9:H9"/>
    <mergeCell ref="C10:H10"/>
    <mergeCell ref="C11:H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2"/>
    <col collapsed="false" customWidth="true" hidden="false" outlineLevel="0" max="3" min="3" style="1" width="16"/>
    <col collapsed="false" customWidth="true" hidden="false" outlineLevel="0" max="4" min="4" style="1" width="26"/>
    <col collapsed="false" customWidth="true" hidden="false" outlineLevel="0" max="5" min="5" style="1" width="32"/>
    <col collapsed="false" customWidth="true" hidden="false" outlineLevel="0" max="6" min="6" style="1" width="12"/>
    <col collapsed="false" customWidth="true" hidden="false" outlineLevel="0" max="7" min="7" style="1" width="30"/>
    <col collapsed="false" customWidth="true" hidden="false" outlineLevel="0" max="8" min="8" style="1" width="34"/>
  </cols>
  <sheetData>
    <row r="1" customFormat="false" ht="31.5" hidden="false" customHeight="true" outlineLevel="0" collapsed="false">
      <c r="A1" s="2" t="s">
        <v>1271</v>
      </c>
      <c r="B1" s="2"/>
      <c r="C1" s="2"/>
      <c r="D1" s="2"/>
      <c r="E1" s="2"/>
      <c r="F1" s="2"/>
      <c r="G1" s="2"/>
      <c r="H1" s="2"/>
    </row>
    <row r="2" customFormat="false" ht="18" hidden="false" customHeight="true" outlineLevel="0" collapsed="false">
      <c r="A2" s="3" t="s">
        <v>144</v>
      </c>
      <c r="B2" s="3"/>
      <c r="C2" s="3"/>
      <c r="D2" s="3"/>
      <c r="E2" s="3"/>
      <c r="F2" s="3"/>
      <c r="G2" s="3"/>
      <c r="H2" s="3"/>
    </row>
    <row r="4" customFormat="false" ht="21.75" hidden="false" customHeight="true" outlineLevel="0" collapsed="false">
      <c r="A4" s="4" t="s">
        <v>1272</v>
      </c>
      <c r="B4" s="4"/>
      <c r="C4" s="4"/>
      <c r="D4" s="4"/>
      <c r="E4" s="4"/>
      <c r="F4" s="4"/>
      <c r="G4" s="4"/>
      <c r="H4" s="4"/>
    </row>
    <row r="5" customFormat="false" ht="31.5" hidden="false" customHeight="true" outlineLevel="0" collapsed="false">
      <c r="A5" s="2" t="s">
        <v>1273</v>
      </c>
      <c r="B5" s="2"/>
      <c r="C5" s="2"/>
      <c r="D5" s="2"/>
      <c r="E5" s="2"/>
      <c r="F5" s="2"/>
      <c r="G5" s="2"/>
      <c r="H5" s="2"/>
    </row>
    <row r="6" customFormat="false" ht="18" hidden="false" customHeight="true" outlineLevel="0" collapsed="false">
      <c r="A6" s="3" t="s">
        <v>1274</v>
      </c>
      <c r="B6" s="3"/>
      <c r="C6" s="3"/>
      <c r="D6" s="3"/>
      <c r="E6" s="3"/>
      <c r="F6" s="3"/>
      <c r="G6" s="3"/>
      <c r="H6" s="3"/>
    </row>
    <row r="8" customFormat="false" ht="21.75" hidden="false" customHeight="true" outlineLevel="0" collapsed="false">
      <c r="A8" s="4" t="s">
        <v>1275</v>
      </c>
      <c r="B8" s="4"/>
      <c r="C8" s="4"/>
      <c r="D8" s="4"/>
      <c r="E8" s="4"/>
      <c r="F8" s="4"/>
      <c r="G8" s="4"/>
      <c r="H8" s="4"/>
    </row>
    <row r="9" customFormat="false" ht="15" hidden="false" customHeight="true" outlineLevel="0" collapsed="false">
      <c r="A9" s="19" t="s">
        <v>1276</v>
      </c>
      <c r="B9" s="19"/>
      <c r="C9" s="19"/>
      <c r="D9" s="19"/>
      <c r="E9" s="19"/>
      <c r="F9" s="19"/>
      <c r="G9" s="19"/>
      <c r="H9" s="19"/>
    </row>
    <row r="10" customFormat="false" ht="15" hidden="false" customHeight="true" outlineLevel="0" collapsed="false">
      <c r="A10" s="19"/>
      <c r="B10" s="19"/>
      <c r="C10" s="19"/>
      <c r="D10" s="19"/>
      <c r="E10" s="19"/>
      <c r="F10" s="19"/>
      <c r="G10" s="19"/>
      <c r="H10" s="19"/>
    </row>
    <row r="11" customFormat="false" ht="15" hidden="false" customHeight="true" outlineLevel="0" collapsed="false">
      <c r="A11" s="19"/>
      <c r="B11" s="19"/>
      <c r="C11" s="19"/>
      <c r="D11" s="19"/>
      <c r="E11" s="19"/>
      <c r="F11" s="19"/>
      <c r="G11" s="19"/>
      <c r="H11" s="19"/>
    </row>
    <row r="12" customFormat="false" ht="15" hidden="false" customHeight="true" outlineLevel="0" collapsed="false">
      <c r="A12" s="19"/>
      <c r="B12" s="19"/>
      <c r="C12" s="19"/>
      <c r="D12" s="19"/>
      <c r="E12" s="19"/>
      <c r="F12" s="19"/>
      <c r="G12" s="19"/>
      <c r="H12" s="19"/>
    </row>
    <row r="13" customFormat="false" ht="15" hidden="false" customHeight="true" outlineLevel="0" collapsed="false">
      <c r="A13" s="19"/>
      <c r="B13" s="19"/>
      <c r="C13" s="19"/>
      <c r="D13" s="19"/>
      <c r="E13" s="19"/>
      <c r="F13" s="19"/>
      <c r="G13" s="19"/>
      <c r="H13" s="19"/>
    </row>
    <row r="14" customFormat="false" ht="15" hidden="false" customHeight="true" outlineLevel="0" collapsed="false">
      <c r="A14" s="19"/>
      <c r="B14" s="19"/>
      <c r="C14" s="19"/>
      <c r="D14" s="19"/>
      <c r="E14" s="19"/>
      <c r="F14" s="19"/>
      <c r="G14" s="19"/>
      <c r="H14" s="19"/>
    </row>
    <row r="15" customFormat="false" ht="15" hidden="false" customHeight="true" outlineLevel="0" collapsed="false">
      <c r="A15" s="19"/>
      <c r="B15" s="19"/>
      <c r="C15" s="19"/>
      <c r="D15" s="19"/>
      <c r="E15" s="19"/>
      <c r="F15" s="19"/>
      <c r="G15" s="19"/>
      <c r="H15" s="19"/>
    </row>
    <row r="17" customFormat="false" ht="21.75" hidden="false" customHeight="true" outlineLevel="0" collapsed="false">
      <c r="A17" s="4" t="s">
        <v>1277</v>
      </c>
      <c r="B17" s="4"/>
      <c r="C17" s="4"/>
      <c r="D17" s="4"/>
      <c r="E17" s="4"/>
      <c r="F17" s="4"/>
      <c r="G17" s="4"/>
      <c r="H17" s="4"/>
    </row>
    <row r="18" customFormat="false" ht="30" hidden="false" customHeight="true" outlineLevel="0" collapsed="false">
      <c r="A18" s="13" t="s">
        <v>148</v>
      </c>
      <c r="B18" s="13" t="s">
        <v>149</v>
      </c>
      <c r="C18" s="13" t="s">
        <v>150</v>
      </c>
      <c r="D18" s="13" t="s">
        <v>151</v>
      </c>
      <c r="E18" s="13" t="s">
        <v>152</v>
      </c>
      <c r="F18" s="13" t="s">
        <v>153</v>
      </c>
      <c r="G18" s="13" t="s">
        <v>154</v>
      </c>
      <c r="H18" s="13" t="s">
        <v>155</v>
      </c>
    </row>
    <row r="19" customFormat="false" ht="109.5" hidden="false" customHeight="true" outlineLevel="0" collapsed="false">
      <c r="A19" s="17" t="s">
        <v>1278</v>
      </c>
      <c r="B19" s="17" t="n">
        <v>18</v>
      </c>
      <c r="C19" s="17" t="s">
        <v>1279</v>
      </c>
      <c r="D19" s="7" t="s">
        <v>1280</v>
      </c>
      <c r="E19" s="7" t="s">
        <v>1281</v>
      </c>
      <c r="F19" s="17" t="s">
        <v>1282</v>
      </c>
      <c r="G19" s="7" t="s">
        <v>1283</v>
      </c>
      <c r="H19" s="7" t="s">
        <v>1284</v>
      </c>
    </row>
    <row r="20" customFormat="false" ht="109.5" hidden="false" customHeight="true" outlineLevel="0" collapsed="false">
      <c r="A20" s="17" t="s">
        <v>1285</v>
      </c>
      <c r="B20" s="17" t="n">
        <v>59</v>
      </c>
      <c r="C20" s="17" t="s">
        <v>1286</v>
      </c>
      <c r="D20" s="7" t="s">
        <v>1287</v>
      </c>
      <c r="E20" s="7" t="s">
        <v>1288</v>
      </c>
      <c r="F20" s="17" t="s">
        <v>1289</v>
      </c>
      <c r="G20" s="7" t="s">
        <v>1290</v>
      </c>
      <c r="H20" s="7" t="s">
        <v>1291</v>
      </c>
    </row>
    <row r="21" customFormat="false" ht="109.5" hidden="false" customHeight="true" outlineLevel="0" collapsed="false">
      <c r="A21" s="17" t="s">
        <v>1292</v>
      </c>
      <c r="B21" s="17" t="s">
        <v>1293</v>
      </c>
      <c r="C21" s="17" t="s">
        <v>1294</v>
      </c>
      <c r="D21" s="7" t="s">
        <v>1294</v>
      </c>
      <c r="E21" s="7" t="s">
        <v>1294</v>
      </c>
      <c r="F21" s="17" t="s">
        <v>1294</v>
      </c>
      <c r="G21" s="7" t="s">
        <v>1295</v>
      </c>
      <c r="H21" s="7" t="s">
        <v>1296</v>
      </c>
    </row>
    <row r="23" customFormat="false" ht="21.75" hidden="false" customHeight="true" outlineLevel="0" collapsed="false">
      <c r="A23" s="4" t="s">
        <v>1297</v>
      </c>
      <c r="B23" s="4"/>
      <c r="C23" s="4"/>
      <c r="D23" s="4"/>
      <c r="E23" s="4"/>
      <c r="F23" s="4"/>
      <c r="G23" s="4"/>
      <c r="H23" s="4"/>
    </row>
    <row r="24" customFormat="false" ht="30" hidden="false" customHeight="true" outlineLevel="0" collapsed="false">
      <c r="A24" s="13" t="s">
        <v>252</v>
      </c>
      <c r="B24" s="13" t="s">
        <v>241</v>
      </c>
      <c r="C24" s="13" t="s">
        <v>1298</v>
      </c>
      <c r="D24" s="13"/>
      <c r="E24" s="13"/>
      <c r="F24" s="13"/>
      <c r="G24" s="13"/>
      <c r="H24" s="13"/>
    </row>
    <row r="25" customFormat="false" ht="49.5" hidden="false" customHeight="true" outlineLevel="0" collapsed="false">
      <c r="A25" s="17" t="s">
        <v>1299</v>
      </c>
      <c r="B25" s="17" t="s">
        <v>1300</v>
      </c>
      <c r="C25" s="7" t="s">
        <v>1301</v>
      </c>
      <c r="D25" s="7"/>
      <c r="E25" s="7"/>
      <c r="F25" s="7"/>
      <c r="G25" s="7"/>
      <c r="H25" s="7"/>
    </row>
    <row r="26" customFormat="false" ht="49.5" hidden="false" customHeight="true" outlineLevel="0" collapsed="false">
      <c r="A26" s="17" t="s">
        <v>1302</v>
      </c>
      <c r="B26" s="17" t="s">
        <v>769</v>
      </c>
      <c r="C26" s="7" t="s">
        <v>1303</v>
      </c>
      <c r="D26" s="7"/>
      <c r="E26" s="7"/>
      <c r="F26" s="7"/>
      <c r="G26" s="7"/>
      <c r="H26" s="7"/>
    </row>
    <row r="27" customFormat="false" ht="49.5" hidden="false" customHeight="true" outlineLevel="0" collapsed="false">
      <c r="A27" s="17" t="s">
        <v>1304</v>
      </c>
      <c r="B27" s="17" t="s">
        <v>769</v>
      </c>
      <c r="C27" s="7" t="s">
        <v>1305</v>
      </c>
      <c r="D27" s="7"/>
      <c r="E27" s="7"/>
      <c r="F27" s="7"/>
      <c r="G27" s="7"/>
      <c r="H27" s="7"/>
    </row>
    <row r="29" customFormat="false" ht="21.75" hidden="false" customHeight="true" outlineLevel="0" collapsed="false">
      <c r="A29" s="4" t="s">
        <v>1306</v>
      </c>
      <c r="B29" s="4"/>
      <c r="C29" s="4"/>
      <c r="D29" s="4"/>
      <c r="E29" s="4"/>
      <c r="F29" s="4"/>
      <c r="G29" s="4"/>
      <c r="H29" s="4"/>
    </row>
    <row r="30" customFormat="false" ht="48" hidden="false" customHeight="true" outlineLevel="0" collapsed="false">
      <c r="A30" s="17" t="s">
        <v>1108</v>
      </c>
      <c r="B30" s="7" t="s">
        <v>1307</v>
      </c>
      <c r="C30" s="7"/>
      <c r="D30" s="7"/>
      <c r="E30" s="7"/>
      <c r="F30" s="7"/>
      <c r="G30" s="7"/>
      <c r="H30" s="7"/>
    </row>
    <row r="31" customFormat="false" ht="48" hidden="false" customHeight="true" outlineLevel="0" collapsed="false">
      <c r="A31" s="17" t="s">
        <v>1110</v>
      </c>
      <c r="B31" s="7" t="s">
        <v>1308</v>
      </c>
      <c r="C31" s="7"/>
      <c r="D31" s="7"/>
      <c r="E31" s="7"/>
      <c r="F31" s="7"/>
      <c r="G31" s="7"/>
      <c r="H31" s="7"/>
    </row>
    <row r="32" customFormat="false" ht="48" hidden="false" customHeight="true" outlineLevel="0" collapsed="false">
      <c r="A32" s="17" t="s">
        <v>1112</v>
      </c>
      <c r="B32" s="7" t="s">
        <v>1309</v>
      </c>
      <c r="C32" s="7"/>
      <c r="D32" s="7"/>
      <c r="E32" s="7"/>
      <c r="F32" s="7"/>
      <c r="G32" s="7"/>
      <c r="H32" s="7"/>
    </row>
    <row r="33" customFormat="false" ht="48" hidden="false" customHeight="true" outlineLevel="0" collapsed="false">
      <c r="A33" s="17" t="s">
        <v>1310</v>
      </c>
      <c r="B33" s="7" t="s">
        <v>1311</v>
      </c>
      <c r="C33" s="7"/>
      <c r="D33" s="7"/>
      <c r="E33" s="7"/>
      <c r="F33" s="7"/>
      <c r="G33" s="7"/>
      <c r="H33" s="7"/>
    </row>
  </sheetData>
  <mergeCells count="17">
    <mergeCell ref="A1:H1"/>
    <mergeCell ref="A2:H2"/>
    <mergeCell ref="A4:H4"/>
    <mergeCell ref="A5:H5"/>
    <mergeCell ref="A6:H6"/>
    <mergeCell ref="A8:H8"/>
    <mergeCell ref="A9:H15"/>
    <mergeCell ref="A17:H17"/>
    <mergeCell ref="A23:H23"/>
    <mergeCell ref="C25:H25"/>
    <mergeCell ref="C26:H26"/>
    <mergeCell ref="C27:H27"/>
    <mergeCell ref="A29:H29"/>
    <mergeCell ref="B30:H30"/>
    <mergeCell ref="B31:H31"/>
    <mergeCell ref="B32:H32"/>
    <mergeCell ref="B33:H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30"/>
    <col collapsed="false" customWidth="true" hidden="false" outlineLevel="0" max="3" min="3" style="1" width="12"/>
    <col collapsed="false" customWidth="true" hidden="false" outlineLevel="0" max="4" min="4" style="1" width="14"/>
    <col collapsed="false" customWidth="true" hidden="false" outlineLevel="0" max="6" min="5" style="1" width="20"/>
    <col collapsed="false" customWidth="true" hidden="false" outlineLevel="0" max="7" min="7" style="1" width="16"/>
    <col collapsed="false" customWidth="true" hidden="false" outlineLevel="0" max="8" min="8" style="1" width="22"/>
  </cols>
  <sheetData>
    <row r="1" customFormat="false" ht="31.5" hidden="false" customHeight="true" outlineLevel="0" collapsed="false">
      <c r="A1" s="2" t="s">
        <v>1312</v>
      </c>
      <c r="B1" s="2"/>
      <c r="C1" s="2"/>
      <c r="D1" s="2"/>
      <c r="E1" s="2"/>
      <c r="F1" s="2"/>
      <c r="G1" s="2"/>
      <c r="H1" s="2"/>
    </row>
    <row r="2" customFormat="false" ht="18" hidden="false" customHeight="true" outlineLevel="0" collapsed="false">
      <c r="A2" s="3" t="s">
        <v>347</v>
      </c>
      <c r="B2" s="3"/>
      <c r="C2" s="3"/>
      <c r="D2" s="3"/>
      <c r="E2" s="3"/>
      <c r="F2" s="3"/>
      <c r="G2" s="3"/>
      <c r="H2" s="3"/>
    </row>
    <row r="4" customFormat="false" ht="21.75" hidden="false" customHeight="true" outlineLevel="0" collapsed="false">
      <c r="A4" s="4" t="s">
        <v>1313</v>
      </c>
      <c r="B4" s="4"/>
      <c r="C4" s="4"/>
      <c r="D4" s="4"/>
      <c r="E4" s="4"/>
      <c r="F4" s="4"/>
      <c r="G4" s="4"/>
      <c r="H4" s="4"/>
    </row>
    <row r="5" customFormat="false" ht="31.5" hidden="false" customHeight="true" outlineLevel="0" collapsed="false">
      <c r="A5" s="2" t="s">
        <v>1314</v>
      </c>
      <c r="B5" s="2"/>
      <c r="C5" s="2"/>
      <c r="D5" s="2"/>
      <c r="E5" s="2"/>
      <c r="F5" s="2"/>
      <c r="G5" s="2"/>
      <c r="H5" s="2"/>
      <c r="I5" s="2"/>
    </row>
    <row r="6" customFormat="false" ht="18" hidden="false" customHeight="true" outlineLevel="0" collapsed="false">
      <c r="A6" s="3" t="s">
        <v>1315</v>
      </c>
      <c r="B6" s="3"/>
      <c r="C6" s="3"/>
      <c r="D6" s="3"/>
      <c r="E6" s="3"/>
      <c r="F6" s="3"/>
      <c r="G6" s="3"/>
      <c r="H6" s="3"/>
      <c r="I6" s="3"/>
    </row>
    <row r="8" customFormat="false" ht="30" hidden="false" customHeight="true" outlineLevel="0" collapsed="false">
      <c r="A8" s="13" t="s">
        <v>351</v>
      </c>
      <c r="B8" s="13" t="s">
        <v>1316</v>
      </c>
      <c r="C8" s="13" t="s">
        <v>1317</v>
      </c>
      <c r="D8" s="13" t="s">
        <v>1318</v>
      </c>
      <c r="E8" s="13" t="s">
        <v>1319</v>
      </c>
      <c r="F8" s="13" t="s">
        <v>1320</v>
      </c>
      <c r="G8" s="13" t="s">
        <v>1321</v>
      </c>
      <c r="H8" s="13" t="s">
        <v>1132</v>
      </c>
    </row>
    <row r="9" customFormat="false" ht="39.75" hidden="false" customHeight="true" outlineLevel="0" collapsed="false">
      <c r="A9" s="31" t="s">
        <v>358</v>
      </c>
      <c r="B9" s="56" t="s">
        <v>1322</v>
      </c>
      <c r="C9" s="31" t="s">
        <v>1134</v>
      </c>
      <c r="D9" s="31" t="s">
        <v>1134</v>
      </c>
      <c r="E9" s="31" t="s">
        <v>1162</v>
      </c>
      <c r="F9" s="31" t="s">
        <v>1162</v>
      </c>
      <c r="G9" s="31" t="s">
        <v>1323</v>
      </c>
      <c r="H9" s="56" t="s">
        <v>1324</v>
      </c>
    </row>
    <row r="10" customFormat="false" ht="39.75" hidden="false" customHeight="true" outlineLevel="0" collapsed="false">
      <c r="A10" s="17" t="s">
        <v>1325</v>
      </c>
      <c r="B10" s="7" t="s">
        <v>1326</v>
      </c>
      <c r="C10" s="17" t="s">
        <v>1135</v>
      </c>
      <c r="D10" s="17" t="s">
        <v>1327</v>
      </c>
      <c r="E10" s="17" t="s">
        <v>1134</v>
      </c>
      <c r="F10" s="17" t="s">
        <v>1134</v>
      </c>
      <c r="G10" s="17" t="s">
        <v>1328</v>
      </c>
      <c r="H10" s="7" t="s">
        <v>1329</v>
      </c>
    </row>
    <row r="11" customFormat="false" ht="39.75" hidden="false" customHeight="true" outlineLevel="0" collapsed="false">
      <c r="A11" s="17" t="s">
        <v>1144</v>
      </c>
      <c r="B11" s="7" t="s">
        <v>1330</v>
      </c>
      <c r="C11" s="17" t="s">
        <v>1135</v>
      </c>
      <c r="D11" s="17" t="s">
        <v>1134</v>
      </c>
      <c r="E11" s="17" t="s">
        <v>1134</v>
      </c>
      <c r="F11" s="17" t="s">
        <v>1135</v>
      </c>
      <c r="G11" s="17" t="s">
        <v>1331</v>
      </c>
      <c r="H11" s="7" t="s">
        <v>1147</v>
      </c>
    </row>
    <row r="12" customFormat="false" ht="39.75" hidden="false" customHeight="true" outlineLevel="0" collapsed="false">
      <c r="A12" s="17" t="s">
        <v>1149</v>
      </c>
      <c r="B12" s="7" t="s">
        <v>1332</v>
      </c>
      <c r="C12" s="17" t="s">
        <v>1333</v>
      </c>
      <c r="D12" s="17" t="s">
        <v>1135</v>
      </c>
      <c r="E12" s="17" t="s">
        <v>1334</v>
      </c>
      <c r="F12" s="17" t="s">
        <v>1134</v>
      </c>
      <c r="G12" s="17" t="s">
        <v>1335</v>
      </c>
      <c r="H12" s="7" t="s">
        <v>1152</v>
      </c>
    </row>
    <row r="13" customFormat="false" ht="39.75" hidden="false" customHeight="true" outlineLevel="0" collapsed="false">
      <c r="A13" s="17" t="s">
        <v>362</v>
      </c>
      <c r="B13" s="7" t="s">
        <v>1336</v>
      </c>
      <c r="C13" s="17" t="s">
        <v>1337</v>
      </c>
      <c r="D13" s="17" t="s">
        <v>1134</v>
      </c>
      <c r="E13" s="17" t="s">
        <v>1135</v>
      </c>
      <c r="F13" s="17" t="s">
        <v>1135</v>
      </c>
      <c r="G13" s="17" t="s">
        <v>1338</v>
      </c>
      <c r="H13" s="7" t="s">
        <v>1158</v>
      </c>
    </row>
    <row r="14" customFormat="false" ht="39.75" hidden="false" customHeight="true" outlineLevel="0" collapsed="false">
      <c r="A14" s="17" t="s">
        <v>1339</v>
      </c>
      <c r="B14" s="7" t="s">
        <v>1340</v>
      </c>
      <c r="C14" s="17" t="s">
        <v>1134</v>
      </c>
      <c r="D14" s="17" t="s">
        <v>1337</v>
      </c>
      <c r="E14" s="17" t="s">
        <v>1341</v>
      </c>
      <c r="F14" s="17" t="s">
        <v>1162</v>
      </c>
      <c r="G14" s="17" t="s">
        <v>1342</v>
      </c>
      <c r="H14" s="7" t="s">
        <v>1343</v>
      </c>
    </row>
    <row r="15" customFormat="false" ht="39.75" hidden="false" customHeight="true" outlineLevel="0" collapsed="false">
      <c r="A15" s="17" t="s">
        <v>1344</v>
      </c>
      <c r="B15" s="7" t="s">
        <v>1345</v>
      </c>
      <c r="C15" s="17" t="s">
        <v>1162</v>
      </c>
      <c r="D15" s="17" t="s">
        <v>1134</v>
      </c>
      <c r="E15" s="17" t="s">
        <v>1162</v>
      </c>
      <c r="F15" s="17" t="s">
        <v>1162</v>
      </c>
      <c r="G15" s="17" t="s">
        <v>1346</v>
      </c>
      <c r="H15" s="7" t="s">
        <v>1347</v>
      </c>
    </row>
    <row r="17" customFormat="false" ht="21.75" hidden="false" customHeight="true" outlineLevel="0" collapsed="false">
      <c r="A17" s="4" t="s">
        <v>1348</v>
      </c>
      <c r="B17" s="4"/>
      <c r="C17" s="4"/>
      <c r="D17" s="4"/>
      <c r="E17" s="4"/>
      <c r="F17" s="4"/>
      <c r="G17" s="4"/>
      <c r="H17" s="4"/>
      <c r="I17" s="4"/>
    </row>
    <row r="18" customFormat="false" ht="49.5" hidden="false" customHeight="true" outlineLevel="0" collapsed="false">
      <c r="A18" s="17" t="s">
        <v>1349</v>
      </c>
      <c r="B18" s="7" t="s">
        <v>1350</v>
      </c>
      <c r="C18" s="7"/>
      <c r="D18" s="7"/>
      <c r="E18" s="7"/>
      <c r="F18" s="7"/>
      <c r="G18" s="7"/>
      <c r="H18" s="7"/>
      <c r="I18" s="7"/>
    </row>
    <row r="19" customFormat="false" ht="49.5" hidden="false" customHeight="true" outlineLevel="0" collapsed="false">
      <c r="A19" s="17" t="s">
        <v>1351</v>
      </c>
      <c r="B19" s="7" t="s">
        <v>1352</v>
      </c>
      <c r="C19" s="7"/>
      <c r="D19" s="7"/>
      <c r="E19" s="7"/>
      <c r="F19" s="7"/>
      <c r="G19" s="7"/>
      <c r="H19" s="7"/>
      <c r="I19" s="7"/>
    </row>
    <row r="20" customFormat="false" ht="49.5" hidden="false" customHeight="true" outlineLevel="0" collapsed="false">
      <c r="A20" s="17" t="s">
        <v>1353</v>
      </c>
      <c r="B20" s="7" t="s">
        <v>1354</v>
      </c>
      <c r="C20" s="7"/>
      <c r="D20" s="7"/>
      <c r="E20" s="7"/>
      <c r="F20" s="7"/>
      <c r="G20" s="7"/>
      <c r="H20" s="7"/>
      <c r="I20" s="7"/>
    </row>
  </sheetData>
  <mergeCells count="9">
    <mergeCell ref="A1:H1"/>
    <mergeCell ref="A2:H2"/>
    <mergeCell ref="A4:H4"/>
    <mergeCell ref="A5:I5"/>
    <mergeCell ref="A6:I6"/>
    <mergeCell ref="A17:I17"/>
    <mergeCell ref="B18:I18"/>
    <mergeCell ref="B19:I19"/>
    <mergeCell ref="B20:I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2"/>
    <col collapsed="false" customWidth="true" hidden="false" outlineLevel="0" max="3" min="3" style="1" width="16"/>
    <col collapsed="false" customWidth="true" hidden="false" outlineLevel="0" max="4" min="4" style="1" width="26"/>
    <col collapsed="false" customWidth="true" hidden="false" outlineLevel="0" max="5" min="5" style="1" width="32"/>
    <col collapsed="false" customWidth="true" hidden="false" outlineLevel="0" max="6" min="6" style="1" width="12"/>
    <col collapsed="false" customWidth="true" hidden="false" outlineLevel="0" max="7" min="7" style="1" width="30"/>
    <col collapsed="false" customWidth="true" hidden="false" outlineLevel="0" max="8" min="8" style="1" width="34"/>
  </cols>
  <sheetData>
    <row r="1" customFormat="false" ht="31.5" hidden="false" customHeight="true" outlineLevel="0" collapsed="false">
      <c r="A1" s="2" t="s">
        <v>1355</v>
      </c>
      <c r="B1" s="2"/>
      <c r="C1" s="2"/>
      <c r="D1" s="2"/>
      <c r="E1" s="2"/>
      <c r="F1" s="2"/>
      <c r="G1" s="2"/>
      <c r="H1" s="2"/>
    </row>
    <row r="2" customFormat="false" ht="18" hidden="false" customHeight="true" outlineLevel="0" collapsed="false">
      <c r="A2" s="3" t="s">
        <v>607</v>
      </c>
      <c r="B2" s="3"/>
      <c r="C2" s="3"/>
      <c r="D2" s="3"/>
      <c r="E2" s="3"/>
      <c r="F2" s="3"/>
      <c r="G2" s="3"/>
      <c r="H2" s="3"/>
    </row>
    <row r="4" customFormat="false" ht="21.75" hidden="false" customHeight="true" outlineLevel="0" collapsed="false">
      <c r="A4" s="4" t="s">
        <v>1272</v>
      </c>
      <c r="B4" s="4"/>
      <c r="C4" s="4"/>
      <c r="D4" s="4"/>
      <c r="E4" s="4"/>
      <c r="F4" s="4"/>
      <c r="G4" s="4"/>
      <c r="H4" s="4"/>
    </row>
    <row r="5" customFormat="false" ht="21.75" hidden="false" customHeight="true" outlineLevel="0" collapsed="false">
      <c r="A5" s="4" t="s">
        <v>1356</v>
      </c>
      <c r="B5" s="4"/>
      <c r="C5" s="4"/>
      <c r="D5" s="4"/>
      <c r="E5" s="4"/>
      <c r="F5" s="4"/>
      <c r="G5" s="4"/>
      <c r="H5" s="4"/>
    </row>
    <row r="6" customFormat="false" ht="15" hidden="false" customHeight="true" outlineLevel="0" collapsed="false">
      <c r="A6" s="55" t="s">
        <v>1357</v>
      </c>
      <c r="B6" s="55"/>
      <c r="C6" s="55"/>
      <c r="D6" s="55"/>
      <c r="E6" s="55"/>
      <c r="F6" s="55"/>
      <c r="G6" s="55"/>
      <c r="H6" s="55"/>
    </row>
    <row r="7" customFormat="false" ht="15" hidden="false" customHeight="true" outlineLevel="0" collapsed="false">
      <c r="A7" s="55"/>
      <c r="B7" s="55"/>
      <c r="C7" s="55"/>
      <c r="D7" s="55"/>
      <c r="E7" s="55"/>
      <c r="F7" s="55"/>
      <c r="G7" s="55"/>
      <c r="H7" s="55"/>
    </row>
    <row r="8" customFormat="false" ht="15" hidden="false" customHeight="true" outlineLevel="0" collapsed="false">
      <c r="A8" s="55"/>
      <c r="B8" s="55"/>
      <c r="C8" s="55"/>
      <c r="D8" s="55"/>
      <c r="E8" s="55"/>
      <c r="F8" s="55"/>
      <c r="G8" s="55"/>
      <c r="H8" s="55"/>
    </row>
    <row r="9" customFormat="false" ht="15" hidden="false" customHeight="true" outlineLevel="0" collapsed="false">
      <c r="A9" s="55"/>
      <c r="B9" s="55"/>
      <c r="C9" s="55"/>
      <c r="D9" s="55"/>
      <c r="E9" s="55"/>
      <c r="F9" s="55"/>
      <c r="G9" s="55"/>
      <c r="H9" s="55"/>
    </row>
    <row r="10" customFormat="false" ht="15" hidden="false" customHeight="true" outlineLevel="0" collapsed="false">
      <c r="A10" s="55"/>
      <c r="B10" s="55"/>
      <c r="C10" s="55"/>
      <c r="D10" s="55"/>
      <c r="E10" s="55"/>
      <c r="F10" s="55"/>
      <c r="G10" s="55"/>
      <c r="H10" s="55"/>
    </row>
    <row r="11" customFormat="false" ht="15" hidden="false" customHeight="true" outlineLevel="0" collapsed="false">
      <c r="A11" s="55"/>
      <c r="B11" s="55"/>
      <c r="C11" s="55"/>
      <c r="D11" s="55"/>
      <c r="E11" s="55"/>
      <c r="F11" s="55"/>
      <c r="G11" s="55"/>
      <c r="H11" s="55"/>
    </row>
    <row r="12" customFormat="false" ht="15" hidden="false" customHeight="true" outlineLevel="0" collapsed="false">
      <c r="A12" s="55"/>
      <c r="B12" s="55"/>
      <c r="C12" s="55"/>
      <c r="D12" s="55"/>
      <c r="E12" s="55"/>
      <c r="F12" s="55"/>
      <c r="G12" s="55"/>
      <c r="H12" s="55"/>
    </row>
  </sheetData>
  <mergeCells count="5">
    <mergeCell ref="A1:H1"/>
    <mergeCell ref="A2:H2"/>
    <mergeCell ref="A4:H4"/>
    <mergeCell ref="A5:H5"/>
    <mergeCell ref="A6:H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2"/>
    <col collapsed="false" customWidth="true" hidden="false" outlineLevel="0" max="3" min="3" style="1" width="16"/>
    <col collapsed="false" customWidth="true" hidden="false" outlineLevel="0" max="4" min="4" style="1" width="26"/>
    <col collapsed="false" customWidth="true" hidden="false" outlineLevel="0" max="5" min="5" style="1" width="32"/>
    <col collapsed="false" customWidth="true" hidden="false" outlineLevel="0" max="6" min="6" style="1" width="12"/>
    <col collapsed="false" customWidth="true" hidden="false" outlineLevel="0" max="7" min="7" style="1" width="30"/>
    <col collapsed="false" customWidth="true" hidden="false" outlineLevel="0" max="8" min="8" style="1" width="34"/>
  </cols>
  <sheetData>
    <row r="1" customFormat="false" ht="31.5" hidden="false" customHeight="true" outlineLevel="0" collapsed="false">
      <c r="A1" s="2" t="s">
        <v>1358</v>
      </c>
      <c r="B1" s="2"/>
      <c r="C1" s="2"/>
      <c r="D1" s="2"/>
      <c r="E1" s="2"/>
      <c r="F1" s="2"/>
      <c r="G1" s="2"/>
      <c r="H1" s="2"/>
    </row>
    <row r="2" customFormat="false" ht="18" hidden="false" customHeight="true" outlineLevel="0" collapsed="false">
      <c r="A2" s="3" t="s">
        <v>703</v>
      </c>
      <c r="B2" s="3"/>
      <c r="C2" s="3"/>
      <c r="D2" s="3"/>
      <c r="E2" s="3"/>
      <c r="F2" s="3"/>
      <c r="G2" s="3"/>
      <c r="H2" s="3"/>
    </row>
    <row r="4" customFormat="false" ht="21.75" hidden="false" customHeight="true" outlineLevel="0" collapsed="false">
      <c r="A4" s="4" t="s">
        <v>1272</v>
      </c>
      <c r="B4" s="4"/>
      <c r="C4" s="4"/>
      <c r="D4" s="4"/>
      <c r="E4" s="4"/>
      <c r="F4" s="4"/>
      <c r="G4" s="4"/>
      <c r="H4" s="4"/>
    </row>
    <row r="5" customFormat="false" ht="21.75" hidden="false" customHeight="true" outlineLevel="0" collapsed="false">
      <c r="A5" s="4" t="s">
        <v>230</v>
      </c>
      <c r="B5" s="4"/>
      <c r="C5" s="4"/>
      <c r="D5" s="4"/>
      <c r="E5" s="4"/>
      <c r="F5" s="4"/>
      <c r="G5" s="4"/>
      <c r="H5" s="4"/>
    </row>
    <row r="6" customFormat="false" ht="30" hidden="false" customHeight="true" outlineLevel="0" collapsed="false">
      <c r="A6" s="22" t="s">
        <v>1359</v>
      </c>
      <c r="B6" s="22"/>
      <c r="C6" s="22"/>
      <c r="D6" s="22"/>
      <c r="E6" s="22"/>
      <c r="F6" s="22"/>
      <c r="G6" s="22"/>
      <c r="H6" s="22"/>
    </row>
    <row r="7" customFormat="false" ht="30" hidden="false" customHeight="true" outlineLevel="0" collapsed="false">
      <c r="A7" s="22" t="s">
        <v>1360</v>
      </c>
      <c r="B7" s="22"/>
      <c r="C7" s="22"/>
      <c r="D7" s="22"/>
      <c r="E7" s="22"/>
      <c r="F7" s="22"/>
      <c r="G7" s="22"/>
      <c r="H7" s="22"/>
    </row>
    <row r="8" customFormat="false" ht="30" hidden="false" customHeight="true" outlineLevel="0" collapsed="false">
      <c r="A8" s="22" t="s">
        <v>1361</v>
      </c>
      <c r="B8" s="22"/>
      <c r="C8" s="22"/>
      <c r="D8" s="22"/>
      <c r="E8" s="22"/>
      <c r="F8" s="22"/>
      <c r="G8" s="22"/>
      <c r="H8" s="22"/>
    </row>
    <row r="9" customFormat="false" ht="30" hidden="false" customHeight="true" outlineLevel="0" collapsed="false">
      <c r="A9" s="22" t="s">
        <v>1362</v>
      </c>
      <c r="B9" s="22"/>
      <c r="C9" s="22"/>
      <c r="D9" s="22"/>
      <c r="E9" s="22"/>
      <c r="F9" s="22"/>
      <c r="G9" s="22"/>
      <c r="H9" s="22"/>
    </row>
    <row r="10" customFormat="false" ht="30" hidden="false" customHeight="true" outlineLevel="0" collapsed="false">
      <c r="A10" s="22" t="s">
        <v>1363</v>
      </c>
      <c r="B10" s="22"/>
      <c r="C10" s="22"/>
      <c r="D10" s="22"/>
      <c r="E10" s="22"/>
      <c r="F10" s="22"/>
      <c r="G10" s="22"/>
      <c r="H10" s="22"/>
    </row>
  </sheetData>
  <mergeCells count="9">
    <mergeCell ref="A1:H1"/>
    <mergeCell ref="A2:H2"/>
    <mergeCell ref="A4:H4"/>
    <mergeCell ref="A5:H5"/>
    <mergeCell ref="A6:H6"/>
    <mergeCell ref="A7:H7"/>
    <mergeCell ref="A8:H8"/>
    <mergeCell ref="A9:H9"/>
    <mergeCell ref="A10:H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2"/>
    <col collapsed="false" customWidth="true" hidden="false" outlineLevel="0" max="3" min="3" style="1" width="16"/>
    <col collapsed="false" customWidth="true" hidden="false" outlineLevel="0" max="4" min="4" style="1" width="26"/>
    <col collapsed="false" customWidth="true" hidden="false" outlineLevel="0" max="5" min="5" style="1" width="30"/>
    <col collapsed="false" customWidth="true" hidden="false" outlineLevel="0" max="6" min="6" style="1" width="14"/>
    <col collapsed="false" customWidth="true" hidden="false" outlineLevel="0" max="7" min="7" style="1" width="30"/>
    <col collapsed="false" customWidth="true" hidden="false" outlineLevel="0" max="8" min="8" style="1" width="32"/>
  </cols>
  <sheetData>
    <row r="1" customFormat="false" ht="31.5" hidden="false" customHeight="true" outlineLevel="0" collapsed="false">
      <c r="A1" s="2" t="s">
        <v>1364</v>
      </c>
      <c r="B1" s="2"/>
      <c r="C1" s="2"/>
      <c r="D1" s="2"/>
      <c r="E1" s="2"/>
      <c r="F1" s="2"/>
      <c r="G1" s="2"/>
      <c r="H1" s="2"/>
    </row>
    <row r="2" customFormat="false" ht="18" hidden="false" customHeight="true" outlineLevel="0" collapsed="false">
      <c r="A2" s="3" t="s">
        <v>144</v>
      </c>
      <c r="B2" s="3"/>
      <c r="C2" s="3"/>
      <c r="D2" s="3"/>
      <c r="E2" s="3"/>
      <c r="F2" s="3"/>
      <c r="G2" s="3"/>
      <c r="H2" s="3"/>
    </row>
    <row r="4" customFormat="false" ht="21.75" hidden="false" customHeight="true" outlineLevel="0" collapsed="false">
      <c r="A4" s="4" t="s">
        <v>1365</v>
      </c>
      <c r="B4" s="4"/>
      <c r="C4" s="4"/>
      <c r="D4" s="4"/>
      <c r="E4" s="4"/>
      <c r="F4" s="4"/>
      <c r="G4" s="4"/>
      <c r="H4" s="4"/>
    </row>
    <row r="5" customFormat="false" ht="31.5" hidden="false" customHeight="true" outlineLevel="0" collapsed="false">
      <c r="A5" s="2" t="s">
        <v>1366</v>
      </c>
      <c r="B5" s="2"/>
      <c r="C5" s="2"/>
      <c r="D5" s="2"/>
      <c r="E5" s="2"/>
      <c r="F5" s="2"/>
      <c r="G5" s="2"/>
      <c r="H5" s="2"/>
    </row>
    <row r="6" customFormat="false" ht="18" hidden="false" customHeight="true" outlineLevel="0" collapsed="false">
      <c r="A6" s="3" t="s">
        <v>1367</v>
      </c>
      <c r="B6" s="3"/>
      <c r="C6" s="3"/>
      <c r="D6" s="3"/>
      <c r="E6" s="3"/>
      <c r="F6" s="3"/>
      <c r="G6" s="3"/>
      <c r="H6" s="3"/>
    </row>
    <row r="8" customFormat="false" ht="21.75" hidden="false" customHeight="true" outlineLevel="0" collapsed="false">
      <c r="A8" s="4" t="s">
        <v>1368</v>
      </c>
      <c r="B8" s="4"/>
      <c r="C8" s="4"/>
      <c r="D8" s="4"/>
      <c r="E8" s="4"/>
      <c r="F8" s="4"/>
      <c r="G8" s="4"/>
      <c r="H8" s="4"/>
    </row>
    <row r="9" customFormat="false" ht="15" hidden="false" customHeight="true" outlineLevel="0" collapsed="false">
      <c r="A9" s="19" t="s">
        <v>1369</v>
      </c>
      <c r="B9" s="19"/>
      <c r="C9" s="19"/>
      <c r="D9" s="19"/>
      <c r="E9" s="19"/>
      <c r="F9" s="19"/>
      <c r="G9" s="19"/>
      <c r="H9" s="19"/>
    </row>
    <row r="10" customFormat="false" ht="15" hidden="false" customHeight="true" outlineLevel="0" collapsed="false">
      <c r="A10" s="19"/>
      <c r="B10" s="19"/>
      <c r="C10" s="19"/>
      <c r="D10" s="19"/>
      <c r="E10" s="19"/>
      <c r="F10" s="19"/>
      <c r="G10" s="19"/>
      <c r="H10" s="19"/>
    </row>
    <row r="11" customFormat="false" ht="15" hidden="false" customHeight="true" outlineLevel="0" collapsed="false">
      <c r="A11" s="19"/>
      <c r="B11" s="19"/>
      <c r="C11" s="19"/>
      <c r="D11" s="19"/>
      <c r="E11" s="19"/>
      <c r="F11" s="19"/>
      <c r="G11" s="19"/>
      <c r="H11" s="19"/>
    </row>
    <row r="12" customFormat="false" ht="15" hidden="false" customHeight="true" outlineLevel="0" collapsed="false">
      <c r="A12" s="19"/>
      <c r="B12" s="19"/>
      <c r="C12" s="19"/>
      <c r="D12" s="19"/>
      <c r="E12" s="19"/>
      <c r="F12" s="19"/>
      <c r="G12" s="19"/>
      <c r="H12" s="19"/>
    </row>
    <row r="13" customFormat="false" ht="15" hidden="false" customHeight="true" outlineLevel="0" collapsed="false">
      <c r="A13" s="19"/>
      <c r="B13" s="19"/>
      <c r="C13" s="19"/>
      <c r="D13" s="19"/>
      <c r="E13" s="19"/>
      <c r="F13" s="19"/>
      <c r="G13" s="19"/>
      <c r="H13" s="19"/>
    </row>
    <row r="15" customFormat="false" ht="21.75" hidden="false" customHeight="true" outlineLevel="0" collapsed="false">
      <c r="A15" s="4" t="s">
        <v>1093</v>
      </c>
      <c r="B15" s="4"/>
      <c r="C15" s="4"/>
      <c r="D15" s="4"/>
      <c r="E15" s="4"/>
      <c r="F15" s="4"/>
      <c r="G15" s="4"/>
      <c r="H15" s="4"/>
    </row>
    <row r="16" customFormat="false" ht="30" hidden="false" customHeight="true" outlineLevel="0" collapsed="false">
      <c r="A16" s="13" t="s">
        <v>148</v>
      </c>
      <c r="B16" s="13" t="s">
        <v>149</v>
      </c>
      <c r="C16" s="13" t="s">
        <v>150</v>
      </c>
      <c r="D16" s="13" t="s">
        <v>151</v>
      </c>
      <c r="E16" s="13" t="s">
        <v>152</v>
      </c>
      <c r="F16" s="13" t="s">
        <v>153</v>
      </c>
      <c r="G16" s="13" t="s">
        <v>154</v>
      </c>
      <c r="H16" s="13" t="s">
        <v>155</v>
      </c>
    </row>
    <row r="17" customFormat="false" ht="109.5" hidden="false" customHeight="true" outlineLevel="0" collapsed="false">
      <c r="A17" s="17" t="s">
        <v>1370</v>
      </c>
      <c r="B17" s="17" t="n">
        <v>1</v>
      </c>
      <c r="C17" s="17" t="s">
        <v>1371</v>
      </c>
      <c r="D17" s="7" t="s">
        <v>1372</v>
      </c>
      <c r="E17" s="7" t="s">
        <v>1373</v>
      </c>
      <c r="F17" s="17" t="s">
        <v>1374</v>
      </c>
      <c r="G17" s="7" t="s">
        <v>1375</v>
      </c>
      <c r="H17" s="7" t="s">
        <v>1376</v>
      </c>
    </row>
    <row r="18" customFormat="false" ht="109.5" hidden="false" customHeight="true" outlineLevel="0" collapsed="false">
      <c r="A18" s="17" t="s">
        <v>1377</v>
      </c>
      <c r="B18" s="17" t="n">
        <v>8</v>
      </c>
      <c r="C18" s="17" t="s">
        <v>1378</v>
      </c>
      <c r="D18" s="7" t="s">
        <v>1379</v>
      </c>
      <c r="E18" s="7" t="s">
        <v>1380</v>
      </c>
      <c r="F18" s="17" t="s">
        <v>1381</v>
      </c>
      <c r="G18" s="7" t="s">
        <v>1382</v>
      </c>
      <c r="H18" s="7" t="s">
        <v>1383</v>
      </c>
    </row>
    <row r="20" customFormat="false" ht="21.75" hidden="false" customHeight="true" outlineLevel="0" collapsed="false">
      <c r="A20" s="4" t="s">
        <v>1107</v>
      </c>
      <c r="B20" s="4"/>
      <c r="C20" s="4"/>
      <c r="D20" s="4"/>
      <c r="E20" s="4"/>
      <c r="F20" s="4"/>
      <c r="G20" s="4"/>
      <c r="H20" s="4"/>
    </row>
    <row r="21" customFormat="false" ht="69.75" hidden="false" customHeight="true" outlineLevel="0" collapsed="false">
      <c r="A21" s="17" t="s">
        <v>1108</v>
      </c>
      <c r="B21" s="7" t="s">
        <v>1384</v>
      </c>
      <c r="C21" s="7"/>
      <c r="D21" s="7"/>
      <c r="E21" s="7"/>
      <c r="F21" s="7"/>
      <c r="G21" s="7"/>
      <c r="H21" s="7"/>
    </row>
    <row r="22" customFormat="false" ht="69.75" hidden="false" customHeight="true" outlineLevel="0" collapsed="false">
      <c r="A22" s="17" t="s">
        <v>1110</v>
      </c>
      <c r="B22" s="7" t="s">
        <v>1385</v>
      </c>
      <c r="C22" s="7"/>
      <c r="D22" s="7"/>
      <c r="E22" s="7"/>
      <c r="F22" s="7"/>
      <c r="G22" s="7"/>
      <c r="H22" s="7"/>
    </row>
    <row r="23" customFormat="false" ht="69.75" hidden="false" customHeight="true" outlineLevel="0" collapsed="false">
      <c r="A23" s="17" t="s">
        <v>1112</v>
      </c>
      <c r="B23" s="7" t="s">
        <v>1386</v>
      </c>
      <c r="C23" s="7"/>
      <c r="D23" s="7"/>
      <c r="E23" s="7"/>
      <c r="F23" s="7"/>
      <c r="G23" s="7"/>
      <c r="H23" s="7"/>
    </row>
    <row r="24" customFormat="false" ht="69.75" hidden="false" customHeight="true" outlineLevel="0" collapsed="false">
      <c r="A24" s="17" t="s">
        <v>1114</v>
      </c>
      <c r="B24" s="7" t="s">
        <v>1387</v>
      </c>
      <c r="C24" s="7"/>
      <c r="D24" s="7"/>
      <c r="E24" s="7"/>
      <c r="F24" s="7"/>
      <c r="G24" s="7"/>
      <c r="H24" s="7"/>
    </row>
  </sheetData>
  <mergeCells count="13">
    <mergeCell ref="A1:H1"/>
    <mergeCell ref="A2:H2"/>
    <mergeCell ref="A4:H4"/>
    <mergeCell ref="A5:H5"/>
    <mergeCell ref="A6:H6"/>
    <mergeCell ref="A8:H8"/>
    <mergeCell ref="A9:H13"/>
    <mergeCell ref="A15:H15"/>
    <mergeCell ref="A20:H20"/>
    <mergeCell ref="B21:H21"/>
    <mergeCell ref="B22:H22"/>
    <mergeCell ref="B23:H23"/>
    <mergeCell ref="B24:H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14"/>
    <col collapsed="false" customWidth="true" hidden="false" outlineLevel="0" max="3" min="3" style="1" width="30"/>
    <col collapsed="false" customWidth="true" hidden="false" outlineLevel="0" max="4" min="4" style="1" width="34"/>
    <col collapsed="false" customWidth="true" hidden="false" outlineLevel="0" max="5" min="5" style="1" width="20"/>
    <col collapsed="false" customWidth="true" hidden="false" outlineLevel="0" max="6" min="6" style="1" width="24"/>
    <col collapsed="false" customWidth="true" hidden="false" outlineLevel="0" max="8" min="7" style="1" width="20"/>
  </cols>
  <sheetData>
    <row r="1" customFormat="false" ht="31.5" hidden="false" customHeight="true" outlineLevel="0" collapsed="false">
      <c r="A1" s="2" t="s">
        <v>1388</v>
      </c>
      <c r="B1" s="2"/>
      <c r="C1" s="2"/>
      <c r="D1" s="2"/>
      <c r="E1" s="2"/>
      <c r="F1" s="2"/>
      <c r="G1" s="2"/>
      <c r="H1" s="2"/>
    </row>
    <row r="2" customFormat="false" ht="18" hidden="false" customHeight="true" outlineLevel="0" collapsed="false">
      <c r="A2" s="3" t="s">
        <v>347</v>
      </c>
      <c r="B2" s="3"/>
      <c r="C2" s="3"/>
      <c r="D2" s="3"/>
      <c r="E2" s="3"/>
      <c r="F2" s="3"/>
      <c r="G2" s="3"/>
      <c r="H2" s="3"/>
    </row>
    <row r="4" customFormat="false" ht="21.75" hidden="false" customHeight="true" outlineLevel="0" collapsed="false">
      <c r="A4" s="4" t="s">
        <v>1389</v>
      </c>
      <c r="B4" s="4"/>
      <c r="C4" s="4"/>
      <c r="D4" s="4"/>
      <c r="E4" s="4"/>
      <c r="F4" s="4"/>
      <c r="G4" s="4"/>
      <c r="H4" s="4"/>
    </row>
    <row r="5" customFormat="false" ht="31.5" hidden="false" customHeight="true" outlineLevel="0" collapsed="false">
      <c r="A5" s="2" t="s">
        <v>1390</v>
      </c>
      <c r="B5" s="2"/>
      <c r="C5" s="2"/>
      <c r="D5" s="2"/>
      <c r="E5" s="2"/>
      <c r="F5" s="2"/>
    </row>
    <row r="6" customFormat="false" ht="18" hidden="false" customHeight="true" outlineLevel="0" collapsed="false">
      <c r="A6" s="3" t="s">
        <v>1391</v>
      </c>
      <c r="B6" s="3"/>
      <c r="C6" s="3"/>
      <c r="D6" s="3"/>
      <c r="E6" s="3"/>
      <c r="F6" s="3"/>
    </row>
    <row r="8" customFormat="false" ht="21.75" hidden="false" customHeight="true" outlineLevel="0" collapsed="false">
      <c r="A8" s="4" t="s">
        <v>1120</v>
      </c>
      <c r="B8" s="4"/>
      <c r="C8" s="4"/>
      <c r="D8" s="4"/>
      <c r="E8" s="4"/>
      <c r="F8" s="4"/>
    </row>
    <row r="9" customFormat="false" ht="43.5" hidden="false" customHeight="true" outlineLevel="0" collapsed="false">
      <c r="A9" s="17" t="s">
        <v>1121</v>
      </c>
      <c r="B9" s="7" t="s">
        <v>1392</v>
      </c>
      <c r="C9" s="7"/>
      <c r="D9" s="7"/>
      <c r="E9" s="7"/>
      <c r="F9" s="7"/>
    </row>
    <row r="10" customFormat="false" ht="43.5" hidden="false" customHeight="true" outlineLevel="0" collapsed="false">
      <c r="A10" s="17" t="s">
        <v>1125</v>
      </c>
      <c r="B10" s="7" t="s">
        <v>1393</v>
      </c>
      <c r="C10" s="7"/>
      <c r="D10" s="7"/>
      <c r="E10" s="7"/>
      <c r="F10" s="7"/>
    </row>
    <row r="12" customFormat="false" ht="21.75" hidden="false" customHeight="true" outlineLevel="0" collapsed="false">
      <c r="A12" s="4" t="s">
        <v>1394</v>
      </c>
      <c r="B12" s="4"/>
      <c r="C12" s="4"/>
      <c r="D12" s="4"/>
      <c r="E12" s="4"/>
      <c r="F12" s="4"/>
    </row>
    <row r="13" customFormat="false" ht="30" hidden="false" customHeight="true" outlineLevel="0" collapsed="false">
      <c r="A13" s="13" t="s">
        <v>351</v>
      </c>
      <c r="B13" s="13" t="s">
        <v>1395</v>
      </c>
      <c r="C13" s="13" t="s">
        <v>150</v>
      </c>
      <c r="D13" s="13" t="s">
        <v>1396</v>
      </c>
      <c r="E13" s="13" t="s">
        <v>1132</v>
      </c>
      <c r="F13" s="13" t="s">
        <v>7</v>
      </c>
    </row>
    <row r="14" customFormat="false" ht="69.75" hidden="false" customHeight="true" outlineLevel="0" collapsed="false">
      <c r="A14" s="31" t="s">
        <v>358</v>
      </c>
      <c r="B14" s="56" t="s">
        <v>1397</v>
      </c>
      <c r="C14" s="56" t="s">
        <v>1398</v>
      </c>
      <c r="D14" s="56" t="s">
        <v>1399</v>
      </c>
      <c r="E14" s="31" t="s">
        <v>1400</v>
      </c>
      <c r="F14" s="56" t="s">
        <v>1401</v>
      </c>
    </row>
    <row r="15" customFormat="false" ht="69.75" hidden="false" customHeight="true" outlineLevel="0" collapsed="false">
      <c r="A15" s="17" t="s">
        <v>362</v>
      </c>
      <c r="B15" s="7" t="s">
        <v>1402</v>
      </c>
      <c r="C15" s="7" t="s">
        <v>1403</v>
      </c>
      <c r="D15" s="7" t="s">
        <v>181</v>
      </c>
      <c r="E15" s="17" t="s">
        <v>1404</v>
      </c>
      <c r="F15" s="7" t="s">
        <v>1405</v>
      </c>
    </row>
    <row r="16" customFormat="false" ht="69.75" hidden="false" customHeight="true" outlineLevel="0" collapsed="false">
      <c r="A16" s="17" t="s">
        <v>914</v>
      </c>
      <c r="B16" s="7" t="s">
        <v>1406</v>
      </c>
      <c r="C16" s="7" t="s">
        <v>1407</v>
      </c>
      <c r="D16" s="7" t="s">
        <v>1408</v>
      </c>
      <c r="E16" s="17" t="s">
        <v>1409</v>
      </c>
      <c r="F16" s="7" t="s">
        <v>1410</v>
      </c>
    </row>
    <row r="17" customFormat="false" ht="69.75" hidden="false" customHeight="true" outlineLevel="0" collapsed="false">
      <c r="A17" s="17" t="s">
        <v>1411</v>
      </c>
      <c r="B17" s="7" t="s">
        <v>1412</v>
      </c>
      <c r="C17" s="7" t="s">
        <v>1413</v>
      </c>
      <c r="D17" s="7" t="s">
        <v>1414</v>
      </c>
      <c r="E17" s="17" t="s">
        <v>1415</v>
      </c>
      <c r="F17" s="7" t="s">
        <v>1416</v>
      </c>
    </row>
    <row r="19" customFormat="false" ht="21.75" hidden="false" customHeight="true" outlineLevel="0" collapsed="false">
      <c r="A19" s="4" t="s">
        <v>1417</v>
      </c>
      <c r="B19" s="4"/>
      <c r="C19" s="4"/>
      <c r="D19" s="4"/>
      <c r="E19" s="4"/>
      <c r="F19" s="4"/>
    </row>
    <row r="20" customFormat="false" ht="15" hidden="false" customHeight="true" outlineLevel="0" collapsed="false">
      <c r="A20" s="18" t="s">
        <v>1418</v>
      </c>
      <c r="B20" s="18"/>
      <c r="C20" s="18"/>
      <c r="D20" s="18"/>
      <c r="E20" s="18"/>
      <c r="F20" s="18"/>
    </row>
    <row r="21" customFormat="false" ht="15" hidden="false" customHeight="true" outlineLevel="0" collapsed="false">
      <c r="A21" s="18"/>
      <c r="B21" s="18"/>
      <c r="C21" s="18"/>
      <c r="D21" s="18"/>
      <c r="E21" s="18"/>
      <c r="F21" s="18"/>
    </row>
    <row r="22" customFormat="false" ht="15" hidden="false" customHeight="true" outlineLevel="0" collapsed="false">
      <c r="A22" s="18"/>
      <c r="B22" s="18"/>
      <c r="C22" s="18"/>
      <c r="D22" s="18"/>
      <c r="E22" s="18"/>
      <c r="F22" s="18"/>
    </row>
    <row r="23" customFormat="false" ht="15" hidden="false" customHeight="true" outlineLevel="0" collapsed="false">
      <c r="A23" s="18"/>
      <c r="B23" s="18"/>
      <c r="C23" s="18"/>
      <c r="D23" s="18"/>
      <c r="E23" s="18"/>
      <c r="F23" s="18"/>
    </row>
    <row r="24" customFormat="false" ht="15" hidden="false" customHeight="true" outlineLevel="0" collapsed="false">
      <c r="A24" s="18"/>
      <c r="B24" s="18"/>
      <c r="C24" s="18"/>
      <c r="D24" s="18"/>
      <c r="E24" s="18"/>
      <c r="F24" s="18"/>
    </row>
    <row r="25" customFormat="false" ht="15" hidden="false" customHeight="true" outlineLevel="0" collapsed="false">
      <c r="A25" s="18"/>
      <c r="B25" s="18"/>
      <c r="C25" s="18"/>
      <c r="D25" s="18"/>
      <c r="E25" s="18"/>
      <c r="F25" s="18"/>
    </row>
  </sheetData>
  <mergeCells count="11">
    <mergeCell ref="A1:H1"/>
    <mergeCell ref="A2:H2"/>
    <mergeCell ref="A4:H4"/>
    <mergeCell ref="A5:F5"/>
    <mergeCell ref="A6:F6"/>
    <mergeCell ref="A8:F8"/>
    <mergeCell ref="B9:F9"/>
    <mergeCell ref="B10:F10"/>
    <mergeCell ref="A12:F12"/>
    <mergeCell ref="A19:F19"/>
    <mergeCell ref="A20: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00"/>
    <col collapsed="false" customWidth="true" hidden="false" outlineLevel="0" max="8" min="3" style="1" width="20"/>
  </cols>
  <sheetData>
    <row r="1" customFormat="false" ht="31.5" hidden="false" customHeight="true" outlineLevel="0" collapsed="false">
      <c r="A1" s="2" t="s">
        <v>1419</v>
      </c>
      <c r="B1" s="2"/>
      <c r="C1" s="2"/>
      <c r="D1" s="2"/>
      <c r="E1" s="2"/>
      <c r="F1" s="2"/>
      <c r="G1" s="2"/>
      <c r="H1" s="2"/>
    </row>
    <row r="2" customFormat="false" ht="18" hidden="false" customHeight="true" outlineLevel="0" collapsed="false">
      <c r="A2" s="3" t="s">
        <v>607</v>
      </c>
      <c r="B2" s="3"/>
      <c r="C2" s="3"/>
      <c r="D2" s="3"/>
      <c r="E2" s="3"/>
      <c r="F2" s="3"/>
      <c r="G2" s="3"/>
      <c r="H2" s="3"/>
    </row>
    <row r="4" customFormat="false" ht="15" hidden="false" customHeight="true" outlineLevel="0" collapsed="false">
      <c r="A4" s="57" t="s">
        <v>1420</v>
      </c>
      <c r="B4" s="57"/>
      <c r="C4" s="57"/>
      <c r="D4" s="57"/>
      <c r="E4" s="57"/>
      <c r="F4" s="57"/>
      <c r="G4" s="57"/>
      <c r="H4" s="57"/>
    </row>
    <row r="5" customFormat="false" ht="15" hidden="false" customHeight="true" outlineLevel="0" collapsed="false">
      <c r="A5" s="57"/>
      <c r="B5" s="57"/>
      <c r="C5" s="57"/>
      <c r="D5" s="57"/>
      <c r="E5" s="57"/>
      <c r="F5" s="57"/>
      <c r="G5" s="57"/>
      <c r="H5" s="57"/>
    </row>
    <row r="6" customFormat="false" ht="15" hidden="false" customHeight="true" outlineLevel="0" collapsed="false">
      <c r="A6" s="57"/>
      <c r="B6" s="57"/>
      <c r="C6" s="57"/>
      <c r="D6" s="57"/>
      <c r="E6" s="57"/>
      <c r="F6" s="57"/>
      <c r="G6" s="57"/>
      <c r="H6" s="57"/>
    </row>
  </sheetData>
  <mergeCells count="3">
    <mergeCell ref="A1:H1"/>
    <mergeCell ref="A2:H2"/>
    <mergeCell ref="A4:H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00"/>
    <col collapsed="false" customWidth="true" hidden="false" outlineLevel="0" max="8" min="3" style="1" width="20"/>
  </cols>
  <sheetData>
    <row r="1" customFormat="false" ht="31.5" hidden="false" customHeight="true" outlineLevel="0" collapsed="false">
      <c r="A1" s="2" t="s">
        <v>1421</v>
      </c>
      <c r="B1" s="2"/>
      <c r="C1" s="2"/>
      <c r="D1" s="2"/>
      <c r="E1" s="2"/>
      <c r="F1" s="2"/>
      <c r="G1" s="2"/>
      <c r="H1" s="2"/>
    </row>
    <row r="2" customFormat="false" ht="18" hidden="false" customHeight="true" outlineLevel="0" collapsed="false">
      <c r="A2" s="3" t="s">
        <v>703</v>
      </c>
      <c r="B2" s="3"/>
      <c r="C2" s="3"/>
      <c r="D2" s="3"/>
      <c r="E2" s="3"/>
      <c r="F2" s="3"/>
      <c r="G2" s="3"/>
      <c r="H2" s="3"/>
    </row>
    <row r="4" customFormat="false" ht="15" hidden="false" customHeight="true" outlineLevel="0" collapsed="false">
      <c r="A4" s="57" t="s">
        <v>1420</v>
      </c>
      <c r="B4" s="57"/>
      <c r="C4" s="57"/>
      <c r="D4" s="57"/>
      <c r="E4" s="57"/>
      <c r="F4" s="57"/>
      <c r="G4" s="57"/>
      <c r="H4" s="57"/>
    </row>
    <row r="5" customFormat="false" ht="15" hidden="false" customHeight="true" outlineLevel="0" collapsed="false">
      <c r="A5" s="57"/>
      <c r="B5" s="57"/>
      <c r="C5" s="57"/>
      <c r="D5" s="57"/>
      <c r="E5" s="57"/>
      <c r="F5" s="57"/>
      <c r="G5" s="57"/>
      <c r="H5" s="57"/>
    </row>
    <row r="6" customFormat="false" ht="15" hidden="false" customHeight="true" outlineLevel="0" collapsed="false">
      <c r="A6" s="57"/>
      <c r="B6" s="57"/>
      <c r="C6" s="57"/>
      <c r="D6" s="57"/>
      <c r="E6" s="57"/>
      <c r="F6" s="57"/>
      <c r="G6" s="57"/>
      <c r="H6" s="57"/>
    </row>
  </sheetData>
  <mergeCells count="3">
    <mergeCell ref="A1:H1"/>
    <mergeCell ref="A2:H2"/>
    <mergeCell ref="A4:H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60"/>
    <col collapsed="false" customWidth="true" hidden="false" outlineLevel="0" max="3" min="3" style="1" width="14"/>
  </cols>
  <sheetData>
    <row r="1" customFormat="false" ht="31.5" hidden="false" customHeight="true" outlineLevel="0" collapsed="false">
      <c r="A1" s="2" t="s">
        <v>1422</v>
      </c>
      <c r="B1" s="2"/>
      <c r="C1" s="2"/>
    </row>
    <row r="2" customFormat="false" ht="18" hidden="false" customHeight="true" outlineLevel="0" collapsed="false">
      <c r="A2" s="3" t="s">
        <v>1423</v>
      </c>
      <c r="B2" s="3"/>
      <c r="C2" s="3"/>
    </row>
    <row r="4" customFormat="false" ht="30" hidden="false" customHeight="true" outlineLevel="0" collapsed="false">
      <c r="A4" s="13" t="s">
        <v>1424</v>
      </c>
      <c r="B4" s="13" t="s">
        <v>1425</v>
      </c>
      <c r="C4" s="13" t="s">
        <v>1426</v>
      </c>
    </row>
    <row r="5" customFormat="false" ht="27.75" hidden="false" customHeight="true" outlineLevel="0" collapsed="false">
      <c r="A5" s="7" t="s">
        <v>1427</v>
      </c>
      <c r="B5" s="7" t="s">
        <v>1428</v>
      </c>
      <c r="C5" s="7" t="s">
        <v>1429</v>
      </c>
    </row>
    <row r="6" customFormat="false" ht="27.75" hidden="false" customHeight="true" outlineLevel="0" collapsed="false">
      <c r="A6" s="7" t="s">
        <v>1430</v>
      </c>
      <c r="B6" s="7" t="s">
        <v>1431</v>
      </c>
      <c r="C6" s="7" t="s">
        <v>1429</v>
      </c>
    </row>
    <row r="7" customFormat="false" ht="27.75" hidden="false" customHeight="true" outlineLevel="0" collapsed="false">
      <c r="A7" s="7" t="s">
        <v>1432</v>
      </c>
      <c r="B7" s="7" t="s">
        <v>1433</v>
      </c>
      <c r="C7" s="7" t="s">
        <v>1429</v>
      </c>
    </row>
    <row r="8" customFormat="false" ht="27.75" hidden="false" customHeight="true" outlineLevel="0" collapsed="false">
      <c r="A8" s="7" t="s">
        <v>1434</v>
      </c>
      <c r="B8" s="7" t="s">
        <v>1435</v>
      </c>
      <c r="C8" s="7" t="s">
        <v>1429</v>
      </c>
    </row>
    <row r="9" customFormat="false" ht="27.75" hidden="false" customHeight="true" outlineLevel="0" collapsed="false">
      <c r="A9" s="7" t="s">
        <v>1436</v>
      </c>
      <c r="B9" s="7" t="s">
        <v>1437</v>
      </c>
      <c r="C9" s="7" t="s">
        <v>1429</v>
      </c>
    </row>
    <row r="10" customFormat="false" ht="27.75" hidden="false" customHeight="true" outlineLevel="0" collapsed="false">
      <c r="A10" s="7" t="s">
        <v>1438</v>
      </c>
      <c r="B10" s="7" t="s">
        <v>1439</v>
      </c>
      <c r="C10" s="7" t="s">
        <v>1429</v>
      </c>
    </row>
    <row r="11" customFormat="false" ht="27.75" hidden="false" customHeight="true" outlineLevel="0" collapsed="false">
      <c r="A11" s="7" t="s">
        <v>1440</v>
      </c>
      <c r="B11" s="7" t="s">
        <v>1441</v>
      </c>
      <c r="C11" s="7" t="s">
        <v>1429</v>
      </c>
    </row>
    <row r="12" customFormat="false" ht="27.75" hidden="false" customHeight="true" outlineLevel="0" collapsed="false">
      <c r="A12" s="7" t="s">
        <v>1442</v>
      </c>
      <c r="B12" s="7" t="s">
        <v>1443</v>
      </c>
      <c r="C12" s="7" t="s">
        <v>1429</v>
      </c>
    </row>
    <row r="13" customFormat="false" ht="27.75" hidden="false" customHeight="true" outlineLevel="0" collapsed="false">
      <c r="A13" s="7" t="s">
        <v>1444</v>
      </c>
      <c r="B13" s="7" t="s">
        <v>1445</v>
      </c>
      <c r="C13" s="7" t="s">
        <v>1429</v>
      </c>
    </row>
    <row r="14" customFormat="false" ht="27.75" hidden="false" customHeight="true" outlineLevel="0" collapsed="false">
      <c r="A14" s="7" t="s">
        <v>1446</v>
      </c>
      <c r="B14" s="7" t="s">
        <v>1447</v>
      </c>
      <c r="C14" s="7" t="s">
        <v>1429</v>
      </c>
    </row>
    <row r="15" customFormat="false" ht="27.75" hidden="false" customHeight="true" outlineLevel="0" collapsed="false">
      <c r="A15" s="7" t="s">
        <v>1448</v>
      </c>
      <c r="B15" s="7" t="s">
        <v>1449</v>
      </c>
      <c r="C15" s="7" t="s">
        <v>1450</v>
      </c>
    </row>
    <row r="16" customFormat="false" ht="27.75" hidden="false" customHeight="true" outlineLevel="0" collapsed="false">
      <c r="A16" s="7" t="s">
        <v>1451</v>
      </c>
      <c r="B16" s="7" t="s">
        <v>1452</v>
      </c>
      <c r="C16" s="7" t="s">
        <v>1429</v>
      </c>
    </row>
    <row r="17" customFormat="false" ht="27.75" hidden="false" customHeight="true" outlineLevel="0" collapsed="false">
      <c r="A17" s="7" t="s">
        <v>1453</v>
      </c>
      <c r="B17" s="7" t="s">
        <v>1454</v>
      </c>
      <c r="C17" s="7" t="s">
        <v>1429</v>
      </c>
    </row>
    <row r="18" customFormat="false" ht="27.75" hidden="false" customHeight="true" outlineLevel="0" collapsed="false">
      <c r="A18" s="7" t="s">
        <v>1455</v>
      </c>
      <c r="B18" s="7" t="s">
        <v>1456</v>
      </c>
      <c r="C18" s="7" t="s">
        <v>1429</v>
      </c>
    </row>
    <row r="19" customFormat="false" ht="27.75" hidden="false" customHeight="true" outlineLevel="0" collapsed="false">
      <c r="A19" s="7" t="s">
        <v>1457</v>
      </c>
      <c r="B19" s="7" t="s">
        <v>1458</v>
      </c>
      <c r="C19" s="7" t="s">
        <v>1429</v>
      </c>
    </row>
    <row r="20" customFormat="false" ht="27.75" hidden="false" customHeight="true" outlineLevel="0" collapsed="false">
      <c r="A20" s="7" t="s">
        <v>1459</v>
      </c>
      <c r="B20" s="7" t="s">
        <v>1460</v>
      </c>
      <c r="C20" s="7" t="s">
        <v>1461</v>
      </c>
    </row>
    <row r="21" customFormat="false" ht="27.75" hidden="false" customHeight="true" outlineLevel="0" collapsed="false">
      <c r="A21" s="7" t="s">
        <v>1462</v>
      </c>
      <c r="B21" s="7" t="s">
        <v>1463</v>
      </c>
      <c r="C21" s="7" t="s">
        <v>1464</v>
      </c>
    </row>
    <row r="22" customFormat="false" ht="27.75" hidden="false" customHeight="true" outlineLevel="0" collapsed="false">
      <c r="A22" s="7" t="s">
        <v>1465</v>
      </c>
      <c r="B22" s="7" t="s">
        <v>1466</v>
      </c>
      <c r="C22" s="7" t="s">
        <v>1464</v>
      </c>
    </row>
    <row r="23" customFormat="false" ht="27.75" hidden="false" customHeight="true" outlineLevel="0" collapsed="false">
      <c r="A23" s="7" t="s">
        <v>1467</v>
      </c>
      <c r="B23" s="7" t="s">
        <v>1468</v>
      </c>
      <c r="C23" s="7" t="s">
        <v>1469</v>
      </c>
    </row>
    <row r="24" customFormat="false" ht="27.75" hidden="false" customHeight="true" outlineLevel="0" collapsed="false">
      <c r="A24" s="7" t="s">
        <v>1470</v>
      </c>
      <c r="B24" s="7" t="s">
        <v>1471</v>
      </c>
      <c r="C24" s="7" t="s">
        <v>1469</v>
      </c>
    </row>
    <row r="25" customFormat="false" ht="27.75" hidden="false" customHeight="true" outlineLevel="0" collapsed="false">
      <c r="A25" s="7" t="s">
        <v>1472</v>
      </c>
      <c r="B25" s="7" t="s">
        <v>1473</v>
      </c>
      <c r="C25" s="7" t="s">
        <v>1429</v>
      </c>
    </row>
    <row r="26" customFormat="false" ht="27.75" hidden="false" customHeight="true" outlineLevel="0" collapsed="false">
      <c r="A26" s="7" t="s">
        <v>1474</v>
      </c>
      <c r="B26" s="7" t="s">
        <v>1475</v>
      </c>
      <c r="C26" s="7" t="s">
        <v>1429</v>
      </c>
    </row>
    <row r="27" customFormat="false" ht="27.75" hidden="false" customHeight="true" outlineLevel="0" collapsed="false">
      <c r="A27" s="7" t="s">
        <v>1476</v>
      </c>
      <c r="B27" s="7" t="s">
        <v>1477</v>
      </c>
      <c r="C27" s="7" t="s">
        <v>1429</v>
      </c>
    </row>
    <row r="28" customFormat="false" ht="27.75" hidden="false" customHeight="true" outlineLevel="0" collapsed="false">
      <c r="A28" s="7" t="s">
        <v>1478</v>
      </c>
      <c r="B28" s="7" t="s">
        <v>1479</v>
      </c>
      <c r="C28" s="7" t="s">
        <v>1429</v>
      </c>
    </row>
    <row r="29" customFormat="false" ht="27.75" hidden="false" customHeight="true" outlineLevel="0" collapsed="false">
      <c r="A29" s="7" t="s">
        <v>1480</v>
      </c>
      <c r="B29" s="7" t="s">
        <v>1481</v>
      </c>
      <c r="C29" s="7" t="s">
        <v>1482</v>
      </c>
    </row>
    <row r="30" customFormat="false" ht="27.75" hidden="false" customHeight="true" outlineLevel="0" collapsed="false">
      <c r="A30" s="7" t="s">
        <v>1483</v>
      </c>
      <c r="B30" s="7" t="s">
        <v>1484</v>
      </c>
      <c r="C30" s="7" t="s">
        <v>1485</v>
      </c>
    </row>
    <row r="32" customFormat="false" ht="15" hidden="false" customHeight="true" outlineLevel="0" collapsed="false">
      <c r="A32" s="22" t="s">
        <v>1486</v>
      </c>
      <c r="B32" s="22"/>
      <c r="C32" s="22"/>
    </row>
    <row r="33" customFormat="false" ht="15" hidden="false" customHeight="true" outlineLevel="0" collapsed="false">
      <c r="A33" s="22"/>
      <c r="B33" s="22"/>
      <c r="C33" s="22"/>
    </row>
    <row r="34" customFormat="false" ht="15" hidden="false" customHeight="true" outlineLevel="0" collapsed="false">
      <c r="A34" s="22"/>
      <c r="B34" s="22"/>
      <c r="C34" s="22"/>
    </row>
    <row r="35" customFormat="false" ht="15" hidden="false" customHeight="true" outlineLevel="0" collapsed="false">
      <c r="A35" s="22"/>
      <c r="B35" s="22"/>
      <c r="C35" s="22"/>
    </row>
  </sheetData>
  <mergeCells count="3">
    <mergeCell ref="A1:C1"/>
    <mergeCell ref="A2:C2"/>
    <mergeCell ref="A32:C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2026-08-12T04:56:25Z</dcterms:created>
  <dc:creator>openpyxl</dc:creator>
  <dc:description/>
  <dc:language>en-US</dc:language>
  <cp:lastModifiedBy/>
  <dcterms:modified xsi:type="dcterms:W3CDTF">2026-08-19T05:38:37Z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