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Lenovo\Downloads\Live project\Nestasia\"/>
    </mc:Choice>
  </mc:AlternateContent>
  <xr:revisionPtr revIDLastSave="0" documentId="13_ncr:1_{B66FD2BA-7894-41A1-8DB5-BDD57CDEC1F7}" xr6:coauthVersionLast="47" xr6:coauthVersionMax="47" xr10:uidLastSave="{00000000-0000-0000-0000-000000000000}"/>
  <bookViews>
    <workbookView xWindow="-108" yWindow="-108" windowWidth="23256" windowHeight="12456" xr2:uid="{336A7C99-1071-43B2-B82F-9FFB94C9F7D6}"/>
  </bookViews>
  <sheets>
    <sheet name="Sheet1" sheetId="1" r:id="rId1"/>
  </sheets>
  <externalReferences>
    <externalReference r:id="rId2"/>
  </externalReferenc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02" i="1" l="1"/>
  <c r="I202" i="1" s="1"/>
  <c r="H201" i="1"/>
  <c r="I201" i="1" s="1"/>
  <c r="H200" i="1"/>
  <c r="I200" i="1" s="1"/>
  <c r="H199" i="1"/>
  <c r="I199" i="1" s="1"/>
  <c r="H198" i="1"/>
  <c r="I198" i="1" s="1"/>
  <c r="H197" i="1"/>
  <c r="I197" i="1" s="1"/>
  <c r="H196" i="1"/>
  <c r="I196" i="1" s="1"/>
  <c r="H195" i="1"/>
  <c r="I195" i="1" s="1"/>
  <c r="H194" i="1"/>
  <c r="I194" i="1" s="1"/>
  <c r="H193" i="1"/>
  <c r="I193" i="1" s="1"/>
  <c r="H192" i="1"/>
  <c r="I192" i="1" s="1"/>
  <c r="H191" i="1"/>
  <c r="I191" i="1" s="1"/>
  <c r="H190" i="1"/>
  <c r="I190" i="1" s="1"/>
  <c r="H189" i="1"/>
  <c r="I189" i="1" s="1"/>
  <c r="H188" i="1"/>
  <c r="I188" i="1" s="1"/>
  <c r="H187" i="1"/>
  <c r="I187" i="1" s="1"/>
  <c r="H186" i="1"/>
  <c r="I186" i="1" s="1"/>
  <c r="H185" i="1"/>
  <c r="I185" i="1" s="1"/>
  <c r="H184" i="1"/>
  <c r="I184" i="1" s="1"/>
  <c r="H183" i="1"/>
  <c r="I183" i="1" s="1"/>
  <c r="H182" i="1"/>
  <c r="I182" i="1" s="1"/>
  <c r="H181" i="1"/>
  <c r="I181" i="1" s="1"/>
  <c r="H180" i="1"/>
  <c r="I180" i="1" s="1"/>
  <c r="H179" i="1"/>
  <c r="I179" i="1" s="1"/>
  <c r="H178" i="1"/>
  <c r="I178" i="1" s="1"/>
  <c r="H177" i="1"/>
  <c r="I177" i="1" s="1"/>
  <c r="H176" i="1"/>
  <c r="I176" i="1" s="1"/>
  <c r="H175" i="1"/>
  <c r="I175" i="1" s="1"/>
  <c r="H174" i="1"/>
  <c r="I174" i="1" s="1"/>
  <c r="H173" i="1"/>
  <c r="I173" i="1" s="1"/>
  <c r="H172" i="1"/>
  <c r="I172" i="1" s="1"/>
  <c r="H171" i="1"/>
  <c r="I171" i="1" s="1"/>
  <c r="H170" i="1"/>
  <c r="I170" i="1" s="1"/>
  <c r="H169" i="1"/>
  <c r="I169" i="1" s="1"/>
  <c r="H168" i="1"/>
  <c r="I168" i="1" s="1"/>
  <c r="H167" i="1"/>
  <c r="I167" i="1" s="1"/>
  <c r="H166" i="1"/>
  <c r="I166" i="1" s="1"/>
  <c r="H165" i="1"/>
  <c r="I165" i="1" s="1"/>
  <c r="H164" i="1"/>
  <c r="I164" i="1" s="1"/>
  <c r="H163" i="1"/>
  <c r="I163" i="1" s="1"/>
  <c r="H162" i="1"/>
  <c r="I162" i="1" s="1"/>
  <c r="H161" i="1"/>
  <c r="I161" i="1" s="1"/>
  <c r="H160" i="1"/>
  <c r="I160" i="1" s="1"/>
  <c r="H159" i="1"/>
  <c r="I159" i="1" s="1"/>
  <c r="H158" i="1"/>
  <c r="I158" i="1" s="1"/>
  <c r="H157" i="1"/>
  <c r="I157" i="1" s="1"/>
  <c r="H156" i="1"/>
  <c r="I156" i="1" s="1"/>
  <c r="H155" i="1"/>
  <c r="I155" i="1" s="1"/>
  <c r="H154" i="1"/>
  <c r="I154" i="1" s="1"/>
  <c r="H153" i="1"/>
  <c r="I153" i="1" s="1"/>
  <c r="H152" i="1"/>
  <c r="I152" i="1" s="1"/>
  <c r="H151" i="1"/>
  <c r="I151" i="1" s="1"/>
  <c r="H150" i="1"/>
  <c r="I150" i="1" s="1"/>
  <c r="H149" i="1"/>
  <c r="I149" i="1" s="1"/>
  <c r="H148" i="1"/>
  <c r="I148" i="1" s="1"/>
  <c r="H147" i="1"/>
  <c r="I147" i="1" s="1"/>
  <c r="H146" i="1"/>
  <c r="I146" i="1" s="1"/>
  <c r="H145" i="1"/>
  <c r="I145" i="1" s="1"/>
  <c r="H144" i="1"/>
  <c r="I144" i="1" s="1"/>
  <c r="H143" i="1"/>
  <c r="I143" i="1" s="1"/>
  <c r="H142" i="1"/>
  <c r="I142" i="1" s="1"/>
  <c r="H141" i="1"/>
  <c r="I141" i="1" s="1"/>
  <c r="H140" i="1"/>
  <c r="I140" i="1" s="1"/>
  <c r="H139" i="1"/>
  <c r="I139" i="1" s="1"/>
  <c r="H138" i="1"/>
  <c r="I138" i="1" s="1"/>
  <c r="H137" i="1"/>
  <c r="I137" i="1" s="1"/>
  <c r="H136" i="1"/>
  <c r="I136" i="1" s="1"/>
  <c r="H135" i="1"/>
  <c r="I135" i="1" s="1"/>
  <c r="H134" i="1"/>
  <c r="I134" i="1" s="1"/>
  <c r="H133" i="1"/>
  <c r="I133" i="1" s="1"/>
  <c r="H132" i="1"/>
  <c r="I132" i="1" s="1"/>
  <c r="H131" i="1"/>
  <c r="I131" i="1" s="1"/>
  <c r="H130" i="1"/>
  <c r="I130" i="1" s="1"/>
  <c r="H129" i="1"/>
  <c r="I129" i="1" s="1"/>
  <c r="H128" i="1"/>
  <c r="I128" i="1" s="1"/>
  <c r="H127" i="1"/>
  <c r="I127" i="1" s="1"/>
  <c r="H126" i="1"/>
  <c r="I126" i="1" s="1"/>
  <c r="H125" i="1"/>
  <c r="I125" i="1" s="1"/>
  <c r="H124" i="1"/>
  <c r="I124" i="1" s="1"/>
  <c r="H123" i="1"/>
  <c r="I123" i="1" s="1"/>
  <c r="H122" i="1"/>
  <c r="I122" i="1" s="1"/>
  <c r="I121" i="1"/>
  <c r="H121" i="1"/>
  <c r="H120" i="1"/>
  <c r="I120" i="1" s="1"/>
  <c r="H119" i="1"/>
  <c r="I119" i="1" s="1"/>
  <c r="H118" i="1"/>
  <c r="I118" i="1" s="1"/>
  <c r="H117" i="1"/>
  <c r="I117" i="1" s="1"/>
  <c r="H116" i="1"/>
  <c r="I116" i="1" s="1"/>
  <c r="H115" i="1"/>
  <c r="I115" i="1" s="1"/>
  <c r="H114" i="1"/>
  <c r="I114" i="1" s="1"/>
  <c r="H113" i="1"/>
  <c r="I113" i="1" s="1"/>
  <c r="H112" i="1"/>
  <c r="I112" i="1" s="1"/>
  <c r="H111" i="1"/>
  <c r="I111" i="1" s="1"/>
  <c r="H110" i="1"/>
  <c r="I110" i="1" s="1"/>
  <c r="H109" i="1"/>
  <c r="I109" i="1" s="1"/>
  <c r="H108" i="1"/>
  <c r="I108" i="1" s="1"/>
  <c r="H107" i="1"/>
  <c r="I107" i="1" s="1"/>
  <c r="H106" i="1"/>
  <c r="I106" i="1" s="1"/>
  <c r="H105" i="1"/>
  <c r="I105" i="1" s="1"/>
  <c r="H104" i="1"/>
  <c r="I104" i="1" s="1"/>
  <c r="H103" i="1"/>
  <c r="I103" i="1" s="1"/>
  <c r="H102" i="1"/>
  <c r="I102" i="1" s="1"/>
  <c r="H101" i="1"/>
  <c r="I101" i="1" s="1"/>
  <c r="H100" i="1"/>
  <c r="I100" i="1" s="1"/>
  <c r="H99" i="1"/>
  <c r="I99" i="1" s="1"/>
  <c r="H98" i="1"/>
  <c r="I98" i="1" s="1"/>
  <c r="H97" i="1"/>
  <c r="I97" i="1" s="1"/>
  <c r="H96" i="1"/>
  <c r="I96" i="1" s="1"/>
  <c r="H95" i="1"/>
  <c r="I95" i="1" s="1"/>
  <c r="H94" i="1"/>
  <c r="I94" i="1" s="1"/>
  <c r="H93" i="1"/>
  <c r="I93" i="1" s="1"/>
  <c r="H92" i="1"/>
  <c r="I92" i="1" s="1"/>
  <c r="H91" i="1"/>
  <c r="I91" i="1" s="1"/>
  <c r="H90" i="1"/>
  <c r="I90" i="1" s="1"/>
  <c r="H89" i="1"/>
  <c r="I89" i="1" s="1"/>
  <c r="H88" i="1"/>
  <c r="I88" i="1" s="1"/>
  <c r="H87" i="1"/>
  <c r="I87" i="1" s="1"/>
  <c r="H86" i="1"/>
  <c r="I86" i="1" s="1"/>
  <c r="H85" i="1"/>
  <c r="I85" i="1" s="1"/>
  <c r="H84" i="1"/>
  <c r="I84" i="1" s="1"/>
  <c r="H83" i="1"/>
  <c r="I83" i="1" s="1"/>
  <c r="H82" i="1"/>
  <c r="I82" i="1" s="1"/>
  <c r="H81" i="1"/>
  <c r="I81" i="1" s="1"/>
  <c r="H80" i="1"/>
  <c r="I80" i="1" s="1"/>
  <c r="H79" i="1"/>
  <c r="I79" i="1" s="1"/>
  <c r="H78" i="1"/>
  <c r="I78" i="1" s="1"/>
  <c r="H77" i="1"/>
  <c r="I77" i="1" s="1"/>
  <c r="H76" i="1"/>
  <c r="I76" i="1" s="1"/>
  <c r="H75" i="1"/>
  <c r="I75" i="1" s="1"/>
  <c r="H74" i="1"/>
  <c r="I74" i="1" s="1"/>
  <c r="H73" i="1"/>
  <c r="I73" i="1" s="1"/>
  <c r="H72" i="1"/>
  <c r="I72" i="1" s="1"/>
  <c r="H71" i="1"/>
  <c r="I71" i="1" s="1"/>
  <c r="H70" i="1"/>
  <c r="I70" i="1" s="1"/>
  <c r="H69" i="1"/>
  <c r="I69" i="1" s="1"/>
  <c r="H68" i="1"/>
  <c r="I68" i="1" s="1"/>
  <c r="H67" i="1"/>
  <c r="I67" i="1" s="1"/>
  <c r="H66" i="1"/>
  <c r="I66" i="1" s="1"/>
  <c r="H65" i="1"/>
  <c r="I65" i="1" s="1"/>
  <c r="H64" i="1"/>
  <c r="I64" i="1" s="1"/>
  <c r="H63" i="1"/>
  <c r="I63" i="1" s="1"/>
  <c r="H62" i="1"/>
  <c r="I62" i="1" s="1"/>
  <c r="H61" i="1"/>
  <c r="I61" i="1" s="1"/>
  <c r="H60" i="1"/>
  <c r="I60" i="1" s="1"/>
  <c r="H59" i="1"/>
  <c r="I59" i="1" s="1"/>
  <c r="H58" i="1"/>
  <c r="I58" i="1" s="1"/>
  <c r="H57" i="1"/>
  <c r="I57" i="1" s="1"/>
  <c r="H56" i="1"/>
  <c r="I56" i="1" s="1"/>
  <c r="H55" i="1"/>
  <c r="I55" i="1" s="1"/>
  <c r="H54" i="1"/>
  <c r="I54" i="1" s="1"/>
  <c r="H53" i="1"/>
  <c r="I53" i="1" s="1"/>
  <c r="H52" i="1"/>
  <c r="I52" i="1" s="1"/>
  <c r="H51" i="1"/>
  <c r="I51" i="1" s="1"/>
  <c r="H50" i="1"/>
  <c r="I50" i="1" s="1"/>
  <c r="H49" i="1"/>
  <c r="I49" i="1" s="1"/>
  <c r="H48" i="1"/>
  <c r="I48" i="1" s="1"/>
  <c r="H47" i="1"/>
  <c r="I47" i="1" s="1"/>
  <c r="H46" i="1"/>
  <c r="I46" i="1" s="1"/>
  <c r="H45" i="1"/>
  <c r="I45" i="1" s="1"/>
  <c r="H44" i="1"/>
  <c r="I44" i="1" s="1"/>
  <c r="H43" i="1"/>
  <c r="I43" i="1" s="1"/>
  <c r="H42" i="1"/>
  <c r="I42" i="1" s="1"/>
  <c r="H41" i="1"/>
  <c r="I41" i="1" s="1"/>
  <c r="H40" i="1"/>
  <c r="I40" i="1" s="1"/>
  <c r="H39" i="1"/>
  <c r="I39" i="1" s="1"/>
  <c r="H38" i="1"/>
  <c r="I38" i="1" s="1"/>
  <c r="H37" i="1"/>
  <c r="I37" i="1" s="1"/>
  <c r="H36" i="1"/>
  <c r="I36" i="1" s="1"/>
  <c r="H35" i="1"/>
  <c r="I35" i="1" s="1"/>
  <c r="H34" i="1"/>
  <c r="I34" i="1" s="1"/>
  <c r="H33" i="1"/>
  <c r="I33" i="1" s="1"/>
  <c r="H32" i="1"/>
  <c r="I32" i="1" s="1"/>
  <c r="H31" i="1"/>
  <c r="I31" i="1" s="1"/>
  <c r="H30" i="1"/>
  <c r="I30" i="1" s="1"/>
  <c r="H29" i="1"/>
  <c r="I29" i="1" s="1"/>
  <c r="H28" i="1"/>
  <c r="I28" i="1" s="1"/>
  <c r="H27" i="1"/>
  <c r="I27" i="1" s="1"/>
  <c r="H26" i="1"/>
  <c r="I26" i="1" s="1"/>
  <c r="H25" i="1"/>
  <c r="I25" i="1" s="1"/>
  <c r="H24" i="1"/>
  <c r="I24" i="1" s="1"/>
  <c r="H23" i="1"/>
  <c r="I23" i="1" s="1"/>
  <c r="H22" i="1"/>
  <c r="I22" i="1" s="1"/>
  <c r="H21" i="1"/>
  <c r="I21" i="1" s="1"/>
  <c r="H20" i="1"/>
  <c r="I20" i="1" s="1"/>
  <c r="H19" i="1"/>
  <c r="I19" i="1" s="1"/>
  <c r="H18" i="1"/>
  <c r="I18" i="1" s="1"/>
  <c r="H17" i="1"/>
  <c r="I17" i="1" s="1"/>
  <c r="H16" i="1"/>
  <c r="I16" i="1" s="1"/>
  <c r="H15" i="1"/>
  <c r="I15" i="1" s="1"/>
  <c r="H14" i="1"/>
  <c r="I14" i="1" s="1"/>
  <c r="H13" i="1"/>
  <c r="I13" i="1" s="1"/>
  <c r="H12" i="1"/>
  <c r="I12" i="1" s="1"/>
  <c r="H11" i="1"/>
  <c r="I11" i="1" s="1"/>
  <c r="H10" i="1"/>
  <c r="I10" i="1" s="1"/>
  <c r="H9" i="1"/>
  <c r="I9" i="1" s="1"/>
  <c r="H8" i="1"/>
  <c r="I8" i="1" s="1"/>
  <c r="H7" i="1"/>
  <c r="I7" i="1" s="1"/>
  <c r="H6" i="1"/>
  <c r="I6" i="1" s="1"/>
  <c r="H5" i="1"/>
  <c r="I5" i="1" s="1"/>
</calcChain>
</file>

<file path=xl/sharedStrings.xml><?xml version="1.0" encoding="utf-8"?>
<sst xmlns="http://schemas.openxmlformats.org/spreadsheetml/2006/main" count="215" uniqueCount="115">
  <si>
    <t>Sr no.</t>
  </si>
  <si>
    <t>Brand</t>
  </si>
  <si>
    <t>Platform</t>
  </si>
  <si>
    <t>Ad library link / ID (source)</t>
  </si>
  <si>
    <t>Start date</t>
  </si>
  <si>
    <t>Status</t>
  </si>
  <si>
    <t>End date (if inactive)</t>
  </si>
  <si>
    <t>Days running</t>
  </si>
  <si>
    <t>Runtime signal</t>
  </si>
  <si>
    <t># variations</t>
  </si>
  <si>
    <t>Format</t>
  </si>
  <si>
    <t>Duration</t>
  </si>
  <si>
    <t>Impressions</t>
  </si>
  <si>
    <t>Product subcategory</t>
  </si>
  <si>
    <t>Hook / headline (paraphrased)</t>
  </si>
  <si>
    <t>Offer / discount</t>
  </si>
  <si>
    <t>CTA button</t>
  </si>
  <si>
    <t>Landing page</t>
  </si>
  <si>
    <t>Notes</t>
  </si>
  <si>
    <t>Theme</t>
  </si>
  <si>
    <t>Nestasia</t>
  </si>
  <si>
    <t>Meta - Facebook</t>
  </si>
  <si>
    <t>https://www.facebook.com/ads/library/?id=2198877604011774</t>
  </si>
  <si>
    <t>Active</t>
  </si>
  <si>
    <t>reel</t>
  </si>
  <si>
    <t>Cookware &amp; Utensils</t>
  </si>
  <si>
    <t>Non-stic, steel-ladle friendly honeycomb tawa</t>
  </si>
  <si>
    <t>upto 70% off +extra 10% off with code FESTIVE10</t>
  </si>
  <si>
    <t>shop now</t>
  </si>
  <si>
    <t>https://nestasia.in/collections/stainless-steel-cookware</t>
  </si>
  <si>
    <t>From flame to table- home cooked meals can be cooked and served in the same utensil</t>
  </si>
  <si>
    <t>Festive + discount</t>
  </si>
  <si>
    <t>https://www.facebook.com/ads/library/?id=1103461418848187</t>
  </si>
  <si>
    <t>Sturdy, durable and perfect for festive meals</t>
  </si>
  <si>
    <t>upto 70% off +extra 10% off with code FESTIVE10, Shop at Nest Festive sale</t>
  </si>
  <si>
    <t>Shop now</t>
  </si>
  <si>
    <r>
      <t xml:space="preserve">Ad description- a young woman in light purple festive kurti cooking mithai- made with love in stainless steel cookware, then next text says tri-ply stainless steel cookware set of 3- Rs4160 </t>
    </r>
    <r>
      <rPr>
        <strike/>
        <sz val="10"/>
        <color rgb="FF0000FF"/>
        <rFont val="Arial"/>
        <family val="2"/>
      </rPr>
      <t>Rs6030</t>
    </r>
    <r>
      <rPr>
        <sz val="10"/>
        <color rgb="FF0000FF"/>
        <rFont val="Arial"/>
        <family val="2"/>
      </rPr>
      <t xml:space="preserve"> , jalebis and samosas shown</t>
    </r>
  </si>
  <si>
    <t>https://www.facebook.com/ads/library/?id=1889587339150057</t>
  </si>
  <si>
    <t>Container</t>
  </si>
  <si>
    <t>Keep all your masalas &amp; cooking oil organised.
A neater rack for flavourful seasonings</t>
  </si>
  <si>
    <t>https://nestasia.in/collections/jars-canisters</t>
  </si>
  <si>
    <t>Simple neat aesthetic video, small jar containers shown stacked with kitchen masalas and 2 glass bottles with cooking oils, at top of the video it says kitchen storge rack with set of 7 spice jars &amp; oil dispensers Rs 3830</t>
  </si>
  <si>
    <t>https://www.facebook.com/ads/library/?id=1799656524684651</t>
  </si>
  <si>
    <t>Freshgrid brings calm to  your fridge chaos
Cool deals for a cooler fridge</t>
  </si>
  <si>
    <t>https://nestasia.in/collections/fridge-storage-containers</t>
  </si>
  <si>
    <t>containers fucntionality shown, from meal preps to snack storage with smart storage sections to keep everything organized with snap lock lid maintains freshness, nothing festive shown in this ad</t>
  </si>
  <si>
    <t>https://www.facebook.com/ads/library/?id=1565773588068706</t>
  </si>
  <si>
    <t>post</t>
  </si>
  <si>
    <t>Designed to move seamlessly between recipes, kitchens &amp; cooktops</t>
  </si>
  <si>
    <t>Extra 5% off, use code MAKEHOMESPECIAL</t>
  </si>
  <si>
    <t>Works in all cooktops- gas, electric, ceamic and induction- set of 3 at Rs 4190 ( focus on functionality and bundling)</t>
  </si>
  <si>
    <t>no theme</t>
  </si>
  <si>
    <t>https://www.facebook.com/ads/library/?id=2218890958973415</t>
  </si>
  <si>
    <t>low impression count of less than 100</t>
  </si>
  <si>
    <t>Add convenience to your daily cooking with kitchen tools</t>
  </si>
  <si>
    <t>https://nestasia.in/collections/kitchen-tools</t>
  </si>
  <si>
    <t>just simple kitchen tool shown, very basic I am not even able to understand what that tool does is it for chopping or storage, very low effort post</t>
  </si>
  <si>
    <t>https://www.facebook.com/ads/library/?id=2619820871804415</t>
  </si>
  <si>
    <t>low impression count of less than 100- could be majorly because it has just been a day</t>
  </si>
  <si>
    <t>Chop easily with Nestasia's rust-resistant stainless steel board!</t>
  </si>
  <si>
    <t>https://nestasia.in/products/stainless-steel-counter-top-chopping-board</t>
  </si>
  <si>
    <t>functional qualities shown- Adjustable countertop design,measuring scale, durable,easy to wash, food grade steel, this all writeen in text. In the video, a simple mid-sized girl in pink suit with white apron, chopping vegetables and washing the chopping board</t>
  </si>
  <si>
    <t>Home Centre</t>
  </si>
  <si>
    <t>https://www.facebook.com/ads/library/?id=2672401763189977</t>
  </si>
  <si>
    <t>1min 9 sec</t>
  </si>
  <si>
    <t>Not a recipe read off a screen but with one hand on the pan, and the other pointing out everything happening in the room. 
The Social Kitchen. Every meal has a story.
#SocialKitchen #RanveerBrar #KitchenEssentials</t>
  </si>
  <si>
    <t>none</t>
  </si>
  <si>
    <t>Website link and no cta</t>
  </si>
  <si>
    <t>https://www.homecentre.in/in/en/</t>
  </si>
  <si>
    <t>Ranveer brar talking in hndi to the audience (english subtitles) indirectly explaining user persona, then goes on to elaborate that every diet plan should have a different pan and exlains use cases of different cooking utensils like a kadhai is a must have so that the food is naturally iron rich and nutrients stay intact when he says this the product price is also dispalyed (Rs 3999)</t>
  </si>
  <si>
    <t>The socail kitchen with ranveer brar</t>
  </si>
  <si>
    <t>https://www.facebook.com/ads/library/?id=1975666326401269</t>
  </si>
  <si>
    <t>45 sec</t>
  </si>
  <si>
    <t>Meet the new kitchen collection at Home Centre, with everything you need for every step of your kitchen journey. From cookware and kitchen tools to crockery, serveware, storage, and more, there’s something new waiting to be discovered.
Swipe through the collection and find your new kitchen favorites.
The Social Kitchen by Home Centre
The heart of every gathering.
#TheSocialKitchen #HomeCentre #NewCollection #KitchenEssentials #Kitchenware</t>
  </si>
  <si>
    <t>Visit store</t>
  </si>
  <si>
    <t>Not working can be some glitch</t>
  </si>
  <si>
    <t>featuring ranveer brar- focusing on family gatherings and shared experience- gives proper ad vibes</t>
  </si>
  <si>
    <t>family gathering</t>
  </si>
  <si>
    <t>https://www.facebook.com/ads/library/?id=1947378256382743</t>
  </si>
  <si>
    <t>15 sec</t>
  </si>
  <si>
    <t>Make your kitchen work smarter with airtight, spill-proof, and space-saving storage containers. Limited stock—shop now!</t>
  </si>
  <si>
    <t>Simple neat aesthetic video, only focusing on product display, not very attractive and too basic</t>
  </si>
  <si>
    <t>IKEA India</t>
  </si>
  <si>
    <t>https://www.facebook.com/ads/library/?id=1667768090990525</t>
  </si>
  <si>
    <t>Explore the wide range of IKEA products now on Android app.
Shop by Phone - 1800 419 4532</t>
  </si>
  <si>
    <t>install now</t>
  </si>
  <si>
    <t>ASPEKT knife sharpener, black - IKEA</t>
  </si>
  <si>
    <t>simple post just displaying the product, ikea doesn’t specifically have much ad content for kitchen category</t>
  </si>
  <si>
    <t>Borosil</t>
  </si>
  <si>
    <t>https://www.facebook.com/ads/library/?id=2091440545061838</t>
  </si>
  <si>
    <t>-</t>
  </si>
  <si>
    <t>The smartest thing on your kitchen counter isn't your phone
This isn't just a kettle. It's a mini kitchen. Momos, noodles, pasta — done in minutes, anywhere there's a plug.
Multi-Purpose: From noodles to momos in minutes.
Convenient: No stove? No problem.
Reliable: Join 30,000+ satisfied cooks.</t>
  </si>
  <si>
    <t>Limited Time Offer: Save 25% on your order!</t>
  </si>
  <si>
    <t>https://myborosil.com/products/borosil-quick-multi-kettle-1-3l?utm_source=Facebook&amp;utm_medium=%7B%7Badset.name%7D%7D&amp;utm_campaign=%7B%7Bcampaign.name%7D%7D&amp;utm_content=%7B%7Bad.name%7D%7D</t>
  </si>
  <si>
    <t>https://www.facebook.com/ads/library/?id=1383447017086076</t>
  </si>
  <si>
    <t>Chef Harpal Singh Sokhi's kitchen just got a Borosil makeover — smart storage, organised essentials, and a space built for how he really cooks.
Bring the same smart-kitchen upgrade home.</t>
  </si>
  <si>
    <t>https://myborosil.com/pages/kitchen-connection</t>
  </si>
  <si>
    <t xml:space="preserve">Kitchen connection x chef Harpal 
Participate and win Rs20,000 kitchen revamp </t>
  </si>
  <si>
    <t>Milton (incl. Treo, ProCook)</t>
  </si>
  <si>
    <t>https://www.facebook.com/ads/library/?id=1491011216405153</t>
  </si>
  <si>
    <t>Lunch Box + Bag</t>
  </si>
  <si>
    <t>Fresh, warm meals wherever you go. Shop Milton Lunch Boxes with Cash on Delivery and fast delivery across India. Choose from insulated, steel &amp; electric tiffins today.</t>
  </si>
  <si>
    <t>https://www.milton.in/products/more-meal-lunchbox?variant=42456049516644</t>
  </si>
  <si>
    <t>product display of lunch boxes with some cartoon character and bright colors for kids. The outer is plastic and but inside is steel</t>
  </si>
  <si>
    <t>https://www.facebook.com/ads/library/?id=1553442433072459</t>
  </si>
  <si>
    <t>Smart solutions for every corner of your home.
Shop durable, functional, and thoughtfully designed products from Milton</t>
  </si>
  <si>
    <t>https://www.milton.in/products/stacko-360-square-container?variant=42401712406628</t>
  </si>
  <si>
    <t xml:space="preserve">Product display of simple white transparent with blue lid container- very low effort </t>
  </si>
  <si>
    <t>https://www.facebook.com/ads/library/?id=2481133192350099</t>
  </si>
  <si>
    <t>20 sec</t>
  </si>
  <si>
    <t xml:space="preserve">Your kitchen deserves an upgrade ✨
Introducing ProCook by Milton — crafted for effortless cooking, modern kitchens &amp; delicious moments
</t>
  </si>
  <si>
    <t>https://www.milton.in/collections/ceramic-cookware?filter.v.availability=1</t>
  </si>
  <si>
    <t>Milton procook ad- designed for healthy cooking - ceramic cookwear,cooking pan in mint green color shown, highlights features such as built to last long, 100% non-toxic, even heat distribution (dosa making shown), less oil more health. Available in 3 colors- mint green, borwn and cream</t>
  </si>
  <si>
    <t>healthy cooking- procook</t>
  </si>
  <si>
    <t>Paid 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</si>
</sst>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8" x14ac:knownFonts="1">
    <font>
      <sz val="11"/>
      <color theme="1"/>
      <name val="Aptos Narrow"/>
      <family val="2"/>
      <scheme val="minor"/>
    </font>
    <font>
      <b/>
      <sz val="14"/>
      <color rgb="FF8C5A44"/>
      <name val="Arial"/>
      <family val="2"/>
    </font>
    <font>
      <i/>
      <sz val="10"/>
      <name val="Arial"/>
      <family val="2"/>
    </font>
    <font>
      <b/>
      <sz val="10"/>
      <color rgb="FFFFFFFF"/>
      <name val="Arial"/>
      <family val="2"/>
    </font>
    <font>
      <sz val="10"/>
      <color rgb="FF0000FF"/>
      <name val="Arial"/>
      <family val="2"/>
    </font>
    <font>
      <sz val="10"/>
      <name val="Arial"/>
      <family val="2"/>
    </font>
    <font>
      <strike/>
      <sz val="10"/>
      <color rgb="FF0000FF"/>
      <name val="Arial"/>
      <family val="2"/>
    </font>
    <font>
      <sz val="8"/>
      <color theme="1"/>
      <name val="Arial"/>
      <family val="2"/>
    </font>
  </fonts>
  <fills count="4">
    <fill>
      <patternFill patternType="none"/>
    </fill>
    <fill>
      <patternFill patternType="gray125"/>
    </fill>
    <fill>
      <patternFill patternType="solid">
        <fgColor rgb="FF4472C4"/>
        <bgColor rgb="FF666699"/>
      </patternFill>
    </fill>
    <fill>
      <patternFill patternType="solid">
        <fgColor rgb="FFEDEDED"/>
        <bgColor rgb="FFFFF4CC"/>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1" fillId="0" borderId="0" xfId="0" applyFont="1" applyAlignment="1">
      <alignment horizontal="center"/>
    </xf>
    <xf numFmtId="0" fontId="2" fillId="0" borderId="0" xfId="0" applyFont="1" applyAlignment="1">
      <alignment vertical="top" wrapText="1"/>
    </xf>
    <xf numFmtId="0" fontId="2" fillId="0" borderId="0" xfId="0" applyFont="1" applyAlignment="1">
      <alignment vertical="top"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1" xfId="0" applyFont="1" applyBorder="1" applyAlignment="1">
      <alignment vertical="top" wrapText="1"/>
    </xf>
    <xf numFmtId="164" fontId="4" fillId="0" borderId="1" xfId="0" applyNumberFormat="1" applyFont="1" applyBorder="1" applyAlignment="1">
      <alignment vertical="top" wrapText="1"/>
    </xf>
    <xf numFmtId="3" fontId="5" fillId="3" borderId="1" xfId="0" applyNumberFormat="1" applyFont="1" applyFill="1" applyBorder="1" applyAlignment="1">
      <alignment vertical="top" wrapText="1"/>
    </xf>
    <xf numFmtId="0" fontId="5" fillId="3" borderId="1" xfId="0" applyFont="1" applyFill="1" applyBorder="1" applyAlignment="1">
      <alignment vertical="top" wrapText="1"/>
    </xf>
    <xf numFmtId="3" fontId="4" fillId="0" borderId="1" xfId="0" applyNumberFormat="1"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578303</xdr:colOff>
      <xdr:row>16</xdr:row>
      <xdr:rowOff>27215</xdr:rowOff>
    </xdr:from>
    <xdr:to>
      <xdr:col>18</xdr:col>
      <xdr:colOff>1706880</xdr:colOff>
      <xdr:row>16</xdr:row>
      <xdr:rowOff>1422793</xdr:rowOff>
    </xdr:to>
    <xdr:pic>
      <xdr:nvPicPr>
        <xdr:cNvPr id="2" name="Picture 1">
          <a:extLst>
            <a:ext uri="{FF2B5EF4-FFF2-40B4-BE49-F238E27FC236}">
              <a16:creationId xmlns:a16="http://schemas.microsoft.com/office/drawing/2014/main" id="{698C8618-C178-484D-BFF6-207E6347F2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053243" y="11434355"/>
          <a:ext cx="1128577" cy="1395578"/>
        </a:xfrm>
        <a:prstGeom prst="rect">
          <a:avLst/>
        </a:prstGeom>
      </xdr:spPr>
    </xdr:pic>
    <xdr:clientData/>
  </xdr:twoCellAnchor>
  <xdr:twoCellAnchor editAs="oneCell">
    <xdr:from>
      <xdr:col>18</xdr:col>
      <xdr:colOff>550274</xdr:colOff>
      <xdr:row>17</xdr:row>
      <xdr:rowOff>17145</xdr:rowOff>
    </xdr:from>
    <xdr:to>
      <xdr:col>18</xdr:col>
      <xdr:colOff>1851660</xdr:colOff>
      <xdr:row>18</xdr:row>
      <xdr:rowOff>1248</xdr:rowOff>
    </xdr:to>
    <xdr:pic>
      <xdr:nvPicPr>
        <xdr:cNvPr id="3" name="Picture 2">
          <a:extLst>
            <a:ext uri="{FF2B5EF4-FFF2-40B4-BE49-F238E27FC236}">
              <a16:creationId xmlns:a16="http://schemas.microsoft.com/office/drawing/2014/main" id="{C604C64A-56A7-413F-B632-4A91FE002E04}"/>
            </a:ext>
          </a:extLst>
        </xdr:cNvPr>
        <xdr:cNvPicPr>
          <a:picLocks noChangeAspect="1"/>
        </xdr:cNvPicPr>
      </xdr:nvPicPr>
      <xdr:blipFill>
        <a:blip xmlns:r="http://schemas.openxmlformats.org/officeDocument/2006/relationships" r:embed="rId2"/>
        <a:stretch>
          <a:fillRect/>
        </a:stretch>
      </xdr:blipFill>
      <xdr:spPr>
        <a:xfrm>
          <a:off x="21025214" y="12933045"/>
          <a:ext cx="1301386" cy="1194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enovo\Downloads\Live%20project\Nestasia\Nestasia_Social_Media_Analysis_Tracker_Latest.xlsx" TargetMode="External"/><Relationship Id="rId1" Type="http://schemas.openxmlformats.org/officeDocument/2006/relationships/externalLinkPath" Target="Nestasia_Social_Media_Analysis_Tracker_La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_Brands"/>
      <sheetName val="Paid_Ads"/>
      <sheetName val="Influencer"/>
      <sheetName val="Summary"/>
    </sheetNames>
    <sheetDataSet>
      <sheetData sheetId="0">
        <row r="33">
          <cell r="B33">
            <v>60</v>
          </cell>
        </row>
        <row r="34">
          <cell r="B34">
            <v>30</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C1DA9-ECB5-48DD-BB3E-C6363253060D}">
  <dimension ref="A1:T202"/>
  <sheetViews>
    <sheetView tabSelected="1" topLeftCell="P4" zoomScale="115" zoomScaleNormal="115" workbookViewId="0">
      <selection activeCell="W9" sqref="W9"/>
    </sheetView>
  </sheetViews>
  <sheetFormatPr defaultColWidth="8.6640625" defaultRowHeight="14.4" x14ac:dyDescent="0.3"/>
  <cols>
    <col min="1" max="1" width="6.33203125" style="1" bestFit="1" customWidth="1"/>
    <col min="2" max="2" width="20" customWidth="1"/>
    <col min="3" max="3" width="16" customWidth="1"/>
    <col min="4" max="4" width="28" customWidth="1"/>
    <col min="5" max="5" width="12" customWidth="1"/>
    <col min="6" max="6" width="10" customWidth="1"/>
    <col min="7" max="7" width="12" customWidth="1"/>
    <col min="8" max="8" width="10" customWidth="1"/>
    <col min="9" max="9" width="14" customWidth="1"/>
    <col min="10" max="10" width="10" customWidth="1"/>
    <col min="11" max="12" width="13" customWidth="1"/>
    <col min="13" max="13" width="16.6640625" customWidth="1"/>
    <col min="14" max="14" width="20" customWidth="1"/>
    <col min="15" max="15" width="42.5546875" customWidth="1"/>
    <col min="16" max="16" width="16" customWidth="1"/>
    <col min="17" max="17" width="13" customWidth="1"/>
    <col min="18" max="18" width="26" customWidth="1"/>
    <col min="19" max="19" width="45.33203125" customWidth="1"/>
    <col min="20" max="20" width="16.33203125" bestFit="1" customWidth="1"/>
  </cols>
  <sheetData>
    <row r="1" spans="1:20" ht="17.399999999999999" x14ac:dyDescent="0.3">
      <c r="B1" s="2" t="s">
        <v>114</v>
      </c>
      <c r="C1" s="2"/>
      <c r="D1" s="2"/>
      <c r="E1" s="2"/>
      <c r="F1" s="2"/>
      <c r="G1" s="2"/>
      <c r="H1" s="2"/>
    </row>
    <row r="2" spans="1:20" ht="39.75" customHeight="1" x14ac:dyDescent="0.3">
      <c r="B2" s="3"/>
      <c r="C2" s="3"/>
      <c r="D2" s="3"/>
      <c r="E2" s="3"/>
      <c r="F2" s="3"/>
      <c r="G2" s="3"/>
      <c r="H2" s="3"/>
      <c r="I2" s="3"/>
      <c r="J2" s="3"/>
      <c r="K2" s="3"/>
      <c r="L2" s="4"/>
      <c r="M2" s="4"/>
    </row>
    <row r="4" spans="1:20" ht="49.5" customHeight="1" x14ac:dyDescent="0.3">
      <c r="A4" s="5" t="s">
        <v>0</v>
      </c>
      <c r="B4" s="5" t="s">
        <v>1</v>
      </c>
      <c r="C4" s="5" t="s">
        <v>2</v>
      </c>
      <c r="D4" s="5" t="s">
        <v>3</v>
      </c>
      <c r="E4" s="5" t="s">
        <v>4</v>
      </c>
      <c r="F4" s="5" t="s">
        <v>5</v>
      </c>
      <c r="G4" s="5" t="s">
        <v>6</v>
      </c>
      <c r="H4" s="5" t="s">
        <v>7</v>
      </c>
      <c r="I4" s="5" t="s">
        <v>8</v>
      </c>
      <c r="J4" s="5" t="s">
        <v>9</v>
      </c>
      <c r="K4" s="5" t="s">
        <v>10</v>
      </c>
      <c r="L4" s="5" t="s">
        <v>11</v>
      </c>
      <c r="M4" s="5" t="s">
        <v>12</v>
      </c>
      <c r="N4" s="5" t="s">
        <v>13</v>
      </c>
      <c r="O4" s="5" t="s">
        <v>14</v>
      </c>
      <c r="P4" s="5" t="s">
        <v>15</v>
      </c>
      <c r="Q4" s="5" t="s">
        <v>16</v>
      </c>
      <c r="R4" s="5" t="s">
        <v>17</v>
      </c>
      <c r="S4" s="5" t="s">
        <v>18</v>
      </c>
      <c r="T4" s="6" t="s">
        <v>19</v>
      </c>
    </row>
    <row r="5" spans="1:20" x14ac:dyDescent="0.3">
      <c r="B5" s="7"/>
      <c r="C5" s="7"/>
      <c r="D5" s="7"/>
      <c r="E5" s="8"/>
      <c r="F5" s="7"/>
      <c r="G5" s="8"/>
      <c r="H5" s="9" t="str">
        <f ca="1">IF(OR($B5="",$E5=""),"",IF($F5="Active",TODAY()-$E5,IF($G5="","",$G5-$E5)))</f>
        <v/>
      </c>
      <c r="I5" s="10" t="str">
        <f ca="1">IF($H5="","",IF($H5&gt;=[1]Guide_Brands!$B$33,"Strong",IF($H5&gt;=[1]Guide_Brands!$B$34,"Medium","Early / short")))</f>
        <v/>
      </c>
      <c r="J5" s="11"/>
      <c r="K5" s="7"/>
      <c r="L5" s="7"/>
      <c r="M5" s="7"/>
      <c r="N5" s="7"/>
      <c r="O5" s="7"/>
      <c r="P5" s="7"/>
      <c r="Q5" s="7"/>
      <c r="R5" s="7"/>
      <c r="S5" s="7"/>
    </row>
    <row r="6" spans="1:20" ht="52.8" x14ac:dyDescent="0.3">
      <c r="A6" s="1">
        <v>1</v>
      </c>
      <c r="B6" s="7" t="s">
        <v>20</v>
      </c>
      <c r="C6" s="7" t="s">
        <v>21</v>
      </c>
      <c r="D6" s="7" t="s">
        <v>22</v>
      </c>
      <c r="E6" s="8">
        <v>46282</v>
      </c>
      <c r="F6" s="7" t="s">
        <v>23</v>
      </c>
      <c r="G6" s="8"/>
      <c r="H6" s="9">
        <f ca="1">IF(OR($B6="",$E6=""),"",IF($F6="Active",TODAY()-$E6,IF($G6="","",$G6-$E6)))</f>
        <v>7</v>
      </c>
      <c r="I6" s="10" t="str">
        <f ca="1">IF($H6="","",IF($H6&gt;=[1]Guide_Brands!$B$33,"Strong",IF($H6&gt;=[1]Guide_Brands!$B$34,"Medium","Early / short")))</f>
        <v>Early / short</v>
      </c>
      <c r="J6" s="11">
        <v>2</v>
      </c>
      <c r="K6" s="7" t="s">
        <v>24</v>
      </c>
      <c r="L6" s="7"/>
      <c r="M6" s="7"/>
      <c r="N6" s="7" t="s">
        <v>25</v>
      </c>
      <c r="O6" s="7" t="s">
        <v>26</v>
      </c>
      <c r="P6" s="7" t="s">
        <v>27</v>
      </c>
      <c r="Q6" s="7" t="s">
        <v>28</v>
      </c>
      <c r="R6" s="7" t="s">
        <v>29</v>
      </c>
      <c r="S6" s="7" t="s">
        <v>30</v>
      </c>
      <c r="T6" s="12" t="s">
        <v>31</v>
      </c>
    </row>
    <row r="7" spans="1:20" ht="79.2" x14ac:dyDescent="0.3">
      <c r="A7" s="1">
        <v>2</v>
      </c>
      <c r="B7" s="7" t="s">
        <v>20</v>
      </c>
      <c r="C7" s="7" t="s">
        <v>21</v>
      </c>
      <c r="D7" s="7" t="s">
        <v>32</v>
      </c>
      <c r="E7" s="8">
        <v>46284</v>
      </c>
      <c r="F7" s="7" t="s">
        <v>23</v>
      </c>
      <c r="G7" s="8"/>
      <c r="H7" s="9">
        <f ca="1">IF(OR($B7="",$E7=""),"",IF($F7="Active",TODAY()-$E7,IF($G7="","",$G7-$E7)))</f>
        <v>5</v>
      </c>
      <c r="I7" s="10" t="str">
        <f ca="1">IF($H7="","",IF($H7&gt;=[1]Guide_Brands!$B$33,"Strong",IF($H7&gt;=[1]Guide_Brands!$B$34,"Medium","Early / short")))</f>
        <v>Early / short</v>
      </c>
      <c r="J7" s="11">
        <v>2</v>
      </c>
      <c r="K7" s="7" t="s">
        <v>24</v>
      </c>
      <c r="L7" s="7"/>
      <c r="M7" s="7"/>
      <c r="N7" s="7" t="s">
        <v>25</v>
      </c>
      <c r="O7" s="7" t="s">
        <v>33</v>
      </c>
      <c r="P7" s="7" t="s">
        <v>34</v>
      </c>
      <c r="Q7" s="7" t="s">
        <v>35</v>
      </c>
      <c r="R7" s="7" t="s">
        <v>29</v>
      </c>
      <c r="S7" s="7" t="s">
        <v>36</v>
      </c>
      <c r="T7" s="12" t="s">
        <v>31</v>
      </c>
    </row>
    <row r="8" spans="1:20" ht="66" x14ac:dyDescent="0.3">
      <c r="A8" s="1">
        <v>3</v>
      </c>
      <c r="B8" s="7" t="s">
        <v>20</v>
      </c>
      <c r="C8" s="7" t="s">
        <v>21</v>
      </c>
      <c r="D8" s="7" t="s">
        <v>37</v>
      </c>
      <c r="E8" s="8">
        <v>46286</v>
      </c>
      <c r="F8" s="7" t="s">
        <v>23</v>
      </c>
      <c r="G8" s="8"/>
      <c r="H8" s="9">
        <f ca="1">IF(OR($B8="",$E8=""),"",IF($F8="Active",TODAY()-$E8,IF($G8="","",$G8-$E8)))</f>
        <v>3</v>
      </c>
      <c r="I8" s="10" t="str">
        <f ca="1">IF($H8="","",IF($H8&gt;=[1]Guide_Brands!$B$33,"Strong",IF($H8&gt;=[1]Guide_Brands!$B$34,"Medium","Early / short")))</f>
        <v>Early / short</v>
      </c>
      <c r="J8" s="11">
        <v>2</v>
      </c>
      <c r="K8" s="7" t="s">
        <v>24</v>
      </c>
      <c r="L8" s="7"/>
      <c r="M8" s="7"/>
      <c r="N8" s="7" t="s">
        <v>38</v>
      </c>
      <c r="O8" s="7" t="s">
        <v>39</v>
      </c>
      <c r="P8" s="7" t="s">
        <v>27</v>
      </c>
      <c r="Q8" s="7" t="s">
        <v>35</v>
      </c>
      <c r="R8" s="7" t="s">
        <v>40</v>
      </c>
      <c r="S8" s="7" t="s">
        <v>41</v>
      </c>
      <c r="T8" s="12" t="s">
        <v>31</v>
      </c>
    </row>
    <row r="9" spans="1:20" ht="58.2" customHeight="1" x14ac:dyDescent="0.3">
      <c r="A9" s="1">
        <v>4</v>
      </c>
      <c r="B9" s="7" t="s">
        <v>20</v>
      </c>
      <c r="C9" s="7" t="s">
        <v>21</v>
      </c>
      <c r="D9" s="7" t="s">
        <v>42</v>
      </c>
      <c r="E9" s="8">
        <v>46285</v>
      </c>
      <c r="F9" s="7" t="s">
        <v>23</v>
      </c>
      <c r="G9" s="8"/>
      <c r="H9" s="9">
        <f ca="1">IF(OR($B9="",$E9=""),"",IF($F9="Active",TODAY()-$E9,IF($G9="","",$G9-$E9)))</f>
        <v>4</v>
      </c>
      <c r="I9" s="10" t="str">
        <f ca="1">IF($H9="","",IF($H9&gt;=[1]Guide_Brands!$B$33,"Strong",IF($H9&gt;=[1]Guide_Brands!$B$34,"Medium","Early / short")))</f>
        <v>Early / short</v>
      </c>
      <c r="J9" s="11">
        <v>3</v>
      </c>
      <c r="K9" s="7" t="s">
        <v>24</v>
      </c>
      <c r="L9" s="7"/>
      <c r="M9" s="7"/>
      <c r="N9" s="7" t="s">
        <v>38</v>
      </c>
      <c r="O9" s="7" t="s">
        <v>43</v>
      </c>
      <c r="P9" s="7" t="s">
        <v>27</v>
      </c>
      <c r="Q9" s="7" t="s">
        <v>35</v>
      </c>
      <c r="R9" s="7" t="s">
        <v>44</v>
      </c>
      <c r="S9" s="7" t="s">
        <v>45</v>
      </c>
      <c r="T9" s="12" t="s">
        <v>31</v>
      </c>
    </row>
    <row r="10" spans="1:20" ht="41.4" customHeight="1" x14ac:dyDescent="0.3">
      <c r="A10" s="1">
        <v>5</v>
      </c>
      <c r="B10" s="7" t="s">
        <v>20</v>
      </c>
      <c r="C10" s="7" t="s">
        <v>21</v>
      </c>
      <c r="D10" s="7" t="s">
        <v>46</v>
      </c>
      <c r="E10" s="8">
        <v>46283</v>
      </c>
      <c r="F10" s="7" t="s">
        <v>23</v>
      </c>
      <c r="G10" s="8"/>
      <c r="H10" s="9">
        <f ca="1">IF(OR($B10="",$E10=""),"",IF($F10="Active",TODAY()-$E10,IF($G10="","",$G10-$E10)))</f>
        <v>6</v>
      </c>
      <c r="I10" s="10" t="str">
        <f ca="1">IF($H10="","",IF($H10&gt;=[1]Guide_Brands!$B$33,"Strong",IF($H10&gt;=[1]Guide_Brands!$B$34,"Medium","Early / short")))</f>
        <v>Early / short</v>
      </c>
      <c r="J10" s="11">
        <v>4</v>
      </c>
      <c r="K10" s="7" t="s">
        <v>47</v>
      </c>
      <c r="L10" s="7"/>
      <c r="M10" s="7"/>
      <c r="N10" s="7" t="s">
        <v>25</v>
      </c>
      <c r="O10" s="7" t="s">
        <v>48</v>
      </c>
      <c r="P10" s="7" t="s">
        <v>49</v>
      </c>
      <c r="Q10" s="7" t="s">
        <v>35</v>
      </c>
      <c r="R10" s="7" t="s">
        <v>29</v>
      </c>
      <c r="S10" s="7" t="s">
        <v>50</v>
      </c>
      <c r="T10" s="12" t="s">
        <v>51</v>
      </c>
    </row>
    <row r="11" spans="1:20" ht="52.8" customHeight="1" x14ac:dyDescent="0.3">
      <c r="A11" s="1">
        <v>6</v>
      </c>
      <c r="B11" s="7" t="s">
        <v>20</v>
      </c>
      <c r="C11" s="7" t="s">
        <v>21</v>
      </c>
      <c r="D11" s="7" t="s">
        <v>52</v>
      </c>
      <c r="E11" s="8">
        <v>46287</v>
      </c>
      <c r="F11" s="7" t="s">
        <v>23</v>
      </c>
      <c r="G11" s="8"/>
      <c r="H11" s="9">
        <f ca="1">IF(OR($B11="",$E11=""),"",IF($F11="Active",TODAY()-$E11,IF($G11="","",$G11-$E11)))</f>
        <v>2</v>
      </c>
      <c r="I11" s="10" t="str">
        <f ca="1">IF($H11="","",IF($H11&gt;=[1]Guide_Brands!$B$33,"Strong",IF($H11&gt;=[1]Guide_Brands!$B$34,"Medium","Early / short")))</f>
        <v>Early / short</v>
      </c>
      <c r="J11" s="11">
        <v>2</v>
      </c>
      <c r="K11" s="7" t="s">
        <v>47</v>
      </c>
      <c r="L11" s="7"/>
      <c r="M11" s="7" t="s">
        <v>53</v>
      </c>
      <c r="N11" s="7" t="s">
        <v>25</v>
      </c>
      <c r="O11" s="7" t="s">
        <v>54</v>
      </c>
      <c r="P11" s="7" t="s">
        <v>49</v>
      </c>
      <c r="Q11" s="7" t="s">
        <v>35</v>
      </c>
      <c r="R11" s="7" t="s">
        <v>55</v>
      </c>
      <c r="S11" s="7" t="s">
        <v>56</v>
      </c>
      <c r="T11" s="12" t="s">
        <v>51</v>
      </c>
    </row>
    <row r="12" spans="1:20" ht="82.8" customHeight="1" x14ac:dyDescent="0.3">
      <c r="A12" s="1">
        <v>7</v>
      </c>
      <c r="B12" s="7" t="s">
        <v>20</v>
      </c>
      <c r="C12" s="7" t="s">
        <v>21</v>
      </c>
      <c r="D12" s="7" t="s">
        <v>57</v>
      </c>
      <c r="E12" s="8">
        <v>46288</v>
      </c>
      <c r="F12" s="7" t="s">
        <v>23</v>
      </c>
      <c r="G12" s="8"/>
      <c r="H12" s="9">
        <f ca="1">IF(OR($B12="",$E12=""),"",IF($F12="Active",TODAY()-$E12,IF($G12="","",$G12-$E12)))</f>
        <v>1</v>
      </c>
      <c r="I12" s="10" t="str">
        <f ca="1">IF($H12="","",IF($H12&gt;=[1]Guide_Brands!$B$33,"Strong",IF($H12&gt;=[1]Guide_Brands!$B$34,"Medium","Early / short")))</f>
        <v>Early / short</v>
      </c>
      <c r="J12" s="11">
        <v>2</v>
      </c>
      <c r="K12" s="7" t="s">
        <v>24</v>
      </c>
      <c r="L12" s="7"/>
      <c r="M12" s="7" t="s">
        <v>58</v>
      </c>
      <c r="N12" s="7" t="s">
        <v>25</v>
      </c>
      <c r="O12" s="7" t="s">
        <v>59</v>
      </c>
      <c r="P12" s="7" t="s">
        <v>49</v>
      </c>
      <c r="Q12" s="7" t="s">
        <v>28</v>
      </c>
      <c r="R12" s="7" t="s">
        <v>60</v>
      </c>
      <c r="S12" s="7" t="s">
        <v>61</v>
      </c>
      <c r="T12" s="12" t="s">
        <v>51</v>
      </c>
    </row>
    <row r="13" spans="1:20" ht="105.6" x14ac:dyDescent="0.3">
      <c r="A13" s="1">
        <v>8</v>
      </c>
      <c r="B13" s="7" t="s">
        <v>62</v>
      </c>
      <c r="C13" s="7" t="s">
        <v>21</v>
      </c>
      <c r="D13" s="7" t="s">
        <v>63</v>
      </c>
      <c r="E13" s="8">
        <v>46283</v>
      </c>
      <c r="F13" s="7" t="s">
        <v>23</v>
      </c>
      <c r="G13" s="8"/>
      <c r="H13" s="9">
        <f ca="1">IF(OR($B13="",$E13=""),"",IF($F13="Active",TODAY()-$E13,IF($G13="","",$G13-$E13)))</f>
        <v>6</v>
      </c>
      <c r="I13" s="10" t="str">
        <f ca="1">IF($H13="","",IF($H13&gt;=[1]Guide_Brands!$B$33,"Strong",IF($H13&gt;=[1]Guide_Brands!$B$34,"Medium","Early / short")))</f>
        <v>Early / short</v>
      </c>
      <c r="J13" s="11">
        <v>0</v>
      </c>
      <c r="K13" s="7" t="s">
        <v>24</v>
      </c>
      <c r="L13" s="7" t="s">
        <v>64</v>
      </c>
      <c r="M13" s="7"/>
      <c r="N13" s="7" t="s">
        <v>25</v>
      </c>
      <c r="O13" s="7" t="s">
        <v>65</v>
      </c>
      <c r="P13" s="7" t="s">
        <v>66</v>
      </c>
      <c r="Q13" s="7" t="s">
        <v>67</v>
      </c>
      <c r="R13" s="7" t="s">
        <v>68</v>
      </c>
      <c r="S13" s="7" t="s">
        <v>69</v>
      </c>
      <c r="T13" s="13" t="s">
        <v>70</v>
      </c>
    </row>
    <row r="14" spans="1:20" ht="145.19999999999999" x14ac:dyDescent="0.3">
      <c r="A14" s="1">
        <v>9</v>
      </c>
      <c r="B14" s="7" t="s">
        <v>62</v>
      </c>
      <c r="C14" s="7" t="s">
        <v>21</v>
      </c>
      <c r="D14" s="7" t="s">
        <v>71</v>
      </c>
      <c r="E14" s="8">
        <v>46286</v>
      </c>
      <c r="F14" s="7" t="s">
        <v>23</v>
      </c>
      <c r="G14" s="8"/>
      <c r="H14" s="9">
        <f ca="1">IF(OR($B14="",$E14=""),"",IF($F14="Active",TODAY()-$E14,IF($G14="","",$G14-$E14)))</f>
        <v>3</v>
      </c>
      <c r="I14" s="10" t="str">
        <f ca="1">IF($H14="","",IF($H14&gt;=[1]Guide_Brands!$B$33,"Strong",IF($H14&gt;=[1]Guide_Brands!$B$34,"Medium","Early / short")))</f>
        <v>Early / short</v>
      </c>
      <c r="J14" s="11"/>
      <c r="K14" s="7" t="s">
        <v>24</v>
      </c>
      <c r="L14" s="7" t="s">
        <v>72</v>
      </c>
      <c r="M14" s="7"/>
      <c r="N14" s="7" t="s">
        <v>25</v>
      </c>
      <c r="O14" s="7" t="s">
        <v>73</v>
      </c>
      <c r="P14" s="7" t="s">
        <v>66</v>
      </c>
      <c r="Q14" s="7" t="s">
        <v>74</v>
      </c>
      <c r="R14" s="7" t="s">
        <v>75</v>
      </c>
      <c r="S14" s="7" t="s">
        <v>76</v>
      </c>
      <c r="T14" s="13" t="s">
        <v>77</v>
      </c>
    </row>
    <row r="15" spans="1:20" ht="39.6" x14ac:dyDescent="0.3">
      <c r="A15" s="1">
        <v>10</v>
      </c>
      <c r="B15" s="7" t="s">
        <v>62</v>
      </c>
      <c r="C15" s="7" t="s">
        <v>21</v>
      </c>
      <c r="D15" s="7" t="s">
        <v>78</v>
      </c>
      <c r="E15" s="8">
        <v>46260</v>
      </c>
      <c r="F15" s="7" t="s">
        <v>23</v>
      </c>
      <c r="G15" s="8"/>
      <c r="H15" s="9">
        <f ca="1">IF(OR($B15="",$E15=""),"",IF($F15="Active",TODAY()-$E15,IF($G15="","",$G15-$E15)))</f>
        <v>29</v>
      </c>
      <c r="I15" s="10" t="str">
        <f ca="1">IF($H15="","",IF($H15&gt;=[1]Guide_Brands!$B$33,"Strong",IF($H15&gt;=[1]Guide_Brands!$B$34,"Medium","Early / short")))</f>
        <v>Early / short</v>
      </c>
      <c r="J15" s="11">
        <v>5</v>
      </c>
      <c r="K15" s="7" t="s">
        <v>24</v>
      </c>
      <c r="L15" s="7" t="s">
        <v>79</v>
      </c>
      <c r="M15" s="7"/>
      <c r="N15" s="7" t="s">
        <v>38</v>
      </c>
      <c r="O15" s="7" t="s">
        <v>80</v>
      </c>
      <c r="P15" s="7" t="s">
        <v>66</v>
      </c>
      <c r="Q15" s="7" t="s">
        <v>28</v>
      </c>
      <c r="R15" s="7" t="s">
        <v>68</v>
      </c>
      <c r="S15" s="7" t="s">
        <v>81</v>
      </c>
      <c r="T15" s="13" t="s">
        <v>51</v>
      </c>
    </row>
    <row r="16" spans="1:20" ht="39.6" x14ac:dyDescent="0.3">
      <c r="A16" s="1">
        <v>11</v>
      </c>
      <c r="B16" s="7" t="s">
        <v>82</v>
      </c>
      <c r="C16" s="7" t="s">
        <v>21</v>
      </c>
      <c r="D16" s="7" t="s">
        <v>83</v>
      </c>
      <c r="E16" s="8">
        <v>46259</v>
      </c>
      <c r="F16" s="7" t="s">
        <v>23</v>
      </c>
      <c r="G16" s="8"/>
      <c r="H16" s="9">
        <f ca="1">IF(OR($B16="",$E16=""),"",IF($F16="Active",TODAY()-$E16,IF($G16="","",$G16-$E16)))</f>
        <v>30</v>
      </c>
      <c r="I16" s="10" t="str">
        <f ca="1">IF($H16="","",IF($H16&gt;=[1]Guide_Brands!$B$33,"Strong",IF($H16&gt;=[1]Guide_Brands!$B$34,"Medium","Early / short")))</f>
        <v>Medium</v>
      </c>
      <c r="J16" s="11">
        <v>6</v>
      </c>
      <c r="K16" s="7" t="s">
        <v>47</v>
      </c>
      <c r="L16" s="7"/>
      <c r="M16" s="7"/>
      <c r="N16" s="7" t="s">
        <v>25</v>
      </c>
      <c r="O16" s="7" t="s">
        <v>84</v>
      </c>
      <c r="P16" s="7" t="s">
        <v>66</v>
      </c>
      <c r="Q16" s="7" t="s">
        <v>85</v>
      </c>
      <c r="R16" s="7" t="s">
        <v>86</v>
      </c>
      <c r="S16" s="7" t="s">
        <v>87</v>
      </c>
    </row>
    <row r="17" spans="1:20" ht="118.8" x14ac:dyDescent="0.3">
      <c r="A17" s="1">
        <v>12</v>
      </c>
      <c r="B17" s="7" t="s">
        <v>88</v>
      </c>
      <c r="C17" s="7" t="s">
        <v>21</v>
      </c>
      <c r="D17" s="7" t="s">
        <v>89</v>
      </c>
      <c r="E17" s="8">
        <v>46231</v>
      </c>
      <c r="F17" s="7" t="s">
        <v>23</v>
      </c>
      <c r="G17" s="8"/>
      <c r="H17" s="9">
        <f ca="1">IF(OR($B17="",$E17=""),"",IF($F17="Active",TODAY()-$E17,IF($G17="","",$G17-$E17)))</f>
        <v>58</v>
      </c>
      <c r="I17" s="10" t="str">
        <f ca="1">IF($H17="","",IF($H17&gt;=[1]Guide_Brands!$B$33,"Strong",IF($H17&gt;=[1]Guide_Brands!$B$34,"Medium","Early / short")))</f>
        <v>Medium</v>
      </c>
      <c r="J17" s="11" t="s">
        <v>90</v>
      </c>
      <c r="K17" s="7" t="s">
        <v>47</v>
      </c>
      <c r="L17" s="7"/>
      <c r="M17" s="7"/>
      <c r="N17" s="7" t="s">
        <v>25</v>
      </c>
      <c r="O17" s="7" t="s">
        <v>91</v>
      </c>
      <c r="P17" s="7" t="s">
        <v>92</v>
      </c>
      <c r="Q17" s="7" t="s">
        <v>28</v>
      </c>
      <c r="R17" s="7" t="s">
        <v>93</v>
      </c>
      <c r="S17" s="7"/>
    </row>
    <row r="18" spans="1:20" ht="95.4" customHeight="1" x14ac:dyDescent="0.3">
      <c r="A18" s="1">
        <v>13</v>
      </c>
      <c r="B18" s="7" t="s">
        <v>88</v>
      </c>
      <c r="C18" s="7" t="s">
        <v>21</v>
      </c>
      <c r="D18" s="7" t="s">
        <v>94</v>
      </c>
      <c r="E18" s="8">
        <v>46216</v>
      </c>
      <c r="F18" s="7" t="s">
        <v>23</v>
      </c>
      <c r="G18" s="8"/>
      <c r="H18" s="9">
        <f ca="1">IF(OR($B18="",$E18=""),"",IF($F18="Active",TODAY()-$E18,IF($G18="","",$G18-$E18)))</f>
        <v>73</v>
      </c>
      <c r="I18" s="10" t="str">
        <f ca="1">IF($H18="","",IF($H18&gt;=[1]Guide_Brands!$B$33,"Strong",IF($H18&gt;=[1]Guide_Brands!$B$34,"Medium","Early / short")))</f>
        <v>Strong</v>
      </c>
      <c r="J18" s="11">
        <v>3</v>
      </c>
      <c r="K18" s="7" t="s">
        <v>47</v>
      </c>
      <c r="L18" s="7"/>
      <c r="M18" s="7"/>
      <c r="N18" s="7" t="s">
        <v>25</v>
      </c>
      <c r="O18" s="7" t="s">
        <v>95</v>
      </c>
      <c r="P18" s="7" t="s">
        <v>66</v>
      </c>
      <c r="Q18" s="7" t="s">
        <v>28</v>
      </c>
      <c r="R18" s="7" t="s">
        <v>96</v>
      </c>
      <c r="S18" s="7"/>
      <c r="T18" s="13" t="s">
        <v>97</v>
      </c>
    </row>
    <row r="19" spans="1:20" ht="52.8" x14ac:dyDescent="0.3">
      <c r="A19" s="1">
        <v>14</v>
      </c>
      <c r="B19" s="7" t="s">
        <v>98</v>
      </c>
      <c r="C19" s="7" t="s">
        <v>21</v>
      </c>
      <c r="D19" s="7" t="s">
        <v>99</v>
      </c>
      <c r="E19" s="8">
        <v>46230</v>
      </c>
      <c r="F19" s="7" t="s">
        <v>23</v>
      </c>
      <c r="G19" s="8"/>
      <c r="H19" s="9">
        <f ca="1">IF(OR($B19="",$E19=""),"",IF($F19="Active",TODAY()-$E19,IF($G19="","",$G19-$E19)))</f>
        <v>59</v>
      </c>
      <c r="I19" s="10" t="str">
        <f ca="1">IF($H19="","",IF($H19&gt;=[1]Guide_Brands!$B$33,"Strong",IF($H19&gt;=[1]Guide_Brands!$B$34,"Medium","Early / short")))</f>
        <v>Medium</v>
      </c>
      <c r="J19" s="11">
        <v>6</v>
      </c>
      <c r="K19" s="7" t="s">
        <v>47</v>
      </c>
      <c r="L19" s="7"/>
      <c r="M19" s="7"/>
      <c r="N19" s="7" t="s">
        <v>100</v>
      </c>
      <c r="O19" s="7" t="s">
        <v>101</v>
      </c>
      <c r="P19" s="7" t="s">
        <v>66</v>
      </c>
      <c r="Q19" s="7" t="s">
        <v>28</v>
      </c>
      <c r="R19" s="7" t="s">
        <v>102</v>
      </c>
      <c r="S19" s="7" t="s">
        <v>103</v>
      </c>
    </row>
    <row r="20" spans="1:20" ht="52.8" x14ac:dyDescent="0.3">
      <c r="A20" s="1">
        <v>15</v>
      </c>
      <c r="B20" s="7" t="s">
        <v>98</v>
      </c>
      <c r="C20" s="7" t="s">
        <v>21</v>
      </c>
      <c r="D20" s="7" t="s">
        <v>104</v>
      </c>
      <c r="E20" s="8">
        <v>46188</v>
      </c>
      <c r="F20" s="7" t="s">
        <v>23</v>
      </c>
      <c r="G20" s="8"/>
      <c r="H20" s="9">
        <f ca="1">IF(OR($B20="",$E20=""),"",IF($F20="Active",TODAY()-$E20,IF($G20="","",$G20-$E20)))</f>
        <v>101</v>
      </c>
      <c r="I20" s="10" t="str">
        <f ca="1">IF($H20="","",IF($H20&gt;=[1]Guide_Brands!$B$33,"Strong",IF($H20&gt;=[1]Guide_Brands!$B$34,"Medium","Early / short")))</f>
        <v>Strong</v>
      </c>
      <c r="J20" s="11">
        <v>6</v>
      </c>
      <c r="K20" s="7" t="s">
        <v>47</v>
      </c>
      <c r="L20" s="7"/>
      <c r="M20" s="7"/>
      <c r="N20" s="7" t="s">
        <v>38</v>
      </c>
      <c r="O20" s="7" t="s">
        <v>105</v>
      </c>
      <c r="P20" s="7" t="s">
        <v>66</v>
      </c>
      <c r="Q20" s="7" t="s">
        <v>28</v>
      </c>
      <c r="R20" s="7" t="s">
        <v>106</v>
      </c>
      <c r="S20" s="7" t="s">
        <v>107</v>
      </c>
    </row>
    <row r="21" spans="1:20" ht="79.2" x14ac:dyDescent="0.3">
      <c r="A21" s="1">
        <v>16</v>
      </c>
      <c r="B21" s="7" t="s">
        <v>98</v>
      </c>
      <c r="C21" s="7" t="s">
        <v>21</v>
      </c>
      <c r="D21" s="7" t="s">
        <v>108</v>
      </c>
      <c r="E21" s="8">
        <v>46175</v>
      </c>
      <c r="F21" s="7" t="s">
        <v>23</v>
      </c>
      <c r="G21" s="8"/>
      <c r="H21" s="9">
        <f ca="1">IF(OR($B21="",$E21=""),"",IF($F21="Active",TODAY()-$E21,IF($G21="","",$G21-$E21)))</f>
        <v>114</v>
      </c>
      <c r="I21" s="10" t="str">
        <f ca="1">IF($H21="","",IF($H21&gt;=[1]Guide_Brands!$B$33,"Strong",IF($H21&gt;=[1]Guide_Brands!$B$34,"Medium","Early / short")))</f>
        <v>Strong</v>
      </c>
      <c r="J21" s="11" t="s">
        <v>66</v>
      </c>
      <c r="K21" s="7" t="s">
        <v>24</v>
      </c>
      <c r="L21" s="7" t="s">
        <v>109</v>
      </c>
      <c r="M21" s="7"/>
      <c r="N21" s="7" t="s">
        <v>25</v>
      </c>
      <c r="O21" s="7" t="s">
        <v>110</v>
      </c>
      <c r="P21" s="7" t="s">
        <v>66</v>
      </c>
      <c r="Q21" s="7" t="s">
        <v>28</v>
      </c>
      <c r="R21" s="7" t="s">
        <v>111</v>
      </c>
      <c r="S21" s="7" t="s">
        <v>112</v>
      </c>
      <c r="T21" s="12" t="s">
        <v>113</v>
      </c>
    </row>
    <row r="22" spans="1:20" x14ac:dyDescent="0.3">
      <c r="B22" s="7"/>
      <c r="C22" s="7"/>
      <c r="D22" s="7"/>
      <c r="E22" s="8"/>
      <c r="F22" s="7"/>
      <c r="G22" s="8"/>
      <c r="H22" s="9" t="str">
        <f ca="1">IF(OR($B22="",$E22=""),"",IF($F22="Active",TODAY()-$E22,IF($G22="","",$G22-$E22)))</f>
        <v/>
      </c>
      <c r="I22" s="10" t="str">
        <f ca="1">IF($H22="","",IF($H22&gt;=[1]Guide_Brands!$B$33,"Strong",IF($H22&gt;=[1]Guide_Brands!$B$34,"Medium","Early / short")))</f>
        <v/>
      </c>
      <c r="J22" s="11"/>
      <c r="K22" s="7"/>
      <c r="L22" s="7"/>
      <c r="M22" s="7"/>
      <c r="N22" s="7"/>
      <c r="O22" s="14"/>
      <c r="P22" s="7"/>
      <c r="Q22" s="7"/>
      <c r="R22" s="7"/>
      <c r="S22" s="7"/>
    </row>
    <row r="23" spans="1:20" x14ac:dyDescent="0.3">
      <c r="B23" s="7"/>
      <c r="C23" s="7"/>
      <c r="D23" s="7"/>
      <c r="E23" s="8"/>
      <c r="F23" s="7"/>
      <c r="G23" s="8"/>
      <c r="H23" s="9" t="str">
        <f ca="1">IF(OR($B23="",$E23=""),"",IF($F23="Active",TODAY()-$E23,IF($G23="","",$G23-$E23)))</f>
        <v/>
      </c>
      <c r="I23" s="10" t="str">
        <f ca="1">IF($H23="","",IF($H23&gt;=[1]Guide_Brands!$B$33,"Strong",IF($H23&gt;=[1]Guide_Brands!$B$34,"Medium","Early / short")))</f>
        <v/>
      </c>
      <c r="J23" s="11"/>
      <c r="K23" s="7"/>
      <c r="L23" s="7"/>
      <c r="M23" s="7"/>
      <c r="N23" s="7"/>
      <c r="O23" s="7"/>
      <c r="P23" s="7"/>
      <c r="Q23" s="7"/>
      <c r="R23" s="7"/>
      <c r="S23" s="7"/>
    </row>
    <row r="24" spans="1:20" x14ac:dyDescent="0.3">
      <c r="B24" s="7"/>
      <c r="C24" s="7"/>
      <c r="D24" s="7"/>
      <c r="E24" s="8"/>
      <c r="F24" s="7"/>
      <c r="G24" s="8"/>
      <c r="H24" s="9" t="str">
        <f ca="1">IF(OR($B24="",$E24=""),"",IF($F24="Active",TODAY()-$E24,IF($G24="","",$G24-$E24)))</f>
        <v/>
      </c>
      <c r="I24" s="10" t="str">
        <f ca="1">IF($H24="","",IF($H24&gt;=[1]Guide_Brands!$B$33,"Strong",IF($H24&gt;=[1]Guide_Brands!$B$34,"Medium","Early / short")))</f>
        <v/>
      </c>
      <c r="J24" s="11"/>
      <c r="K24" s="7"/>
      <c r="L24" s="7"/>
      <c r="M24" s="7"/>
      <c r="N24" s="7"/>
      <c r="O24" s="7"/>
      <c r="P24" s="7"/>
      <c r="Q24" s="7"/>
      <c r="R24" s="7"/>
      <c r="S24" s="7"/>
    </row>
    <row r="25" spans="1:20" x14ac:dyDescent="0.3">
      <c r="B25" s="7"/>
      <c r="C25" s="7"/>
      <c r="D25" s="7"/>
      <c r="E25" s="8"/>
      <c r="F25" s="7"/>
      <c r="G25" s="8"/>
      <c r="H25" s="9" t="str">
        <f ca="1">IF(OR($B25="",$E25=""),"",IF($F25="Active",TODAY()-$E25,IF($G25="","",$G25-$E25)))</f>
        <v/>
      </c>
      <c r="I25" s="10" t="str">
        <f ca="1">IF($H25="","",IF($H25&gt;=[1]Guide_Brands!$B$33,"Strong",IF($H25&gt;=[1]Guide_Brands!$B$34,"Medium","Early / short")))</f>
        <v/>
      </c>
      <c r="J25" s="11"/>
      <c r="K25" s="7"/>
      <c r="L25" s="7"/>
      <c r="M25" s="7"/>
      <c r="N25" s="7"/>
      <c r="O25" s="7"/>
      <c r="P25" s="7"/>
      <c r="Q25" s="7"/>
      <c r="R25" s="7"/>
      <c r="S25" s="7"/>
    </row>
    <row r="26" spans="1:20" x14ac:dyDescent="0.3">
      <c r="B26" s="7"/>
      <c r="C26" s="7"/>
      <c r="D26" s="7"/>
      <c r="E26" s="8"/>
      <c r="F26" s="7"/>
      <c r="G26" s="8"/>
      <c r="H26" s="9" t="str">
        <f ca="1">IF(OR($B26="",$E26=""),"",IF($F26="Active",TODAY()-$E26,IF($G26="","",$G26-$E26)))</f>
        <v/>
      </c>
      <c r="I26" s="10" t="str">
        <f ca="1">IF($H26="","",IF($H26&gt;=[1]Guide_Brands!$B$33,"Strong",IF($H26&gt;=[1]Guide_Brands!$B$34,"Medium","Early / short")))</f>
        <v/>
      </c>
      <c r="J26" s="11"/>
      <c r="K26" s="7"/>
      <c r="L26" s="7"/>
      <c r="M26" s="7"/>
      <c r="N26" s="7"/>
      <c r="O26" s="7"/>
      <c r="P26" s="7"/>
      <c r="Q26" s="7"/>
      <c r="R26" s="7"/>
      <c r="S26" s="7"/>
    </row>
    <row r="27" spans="1:20" x14ac:dyDescent="0.3">
      <c r="B27" s="7"/>
      <c r="C27" s="7"/>
      <c r="D27" s="7"/>
      <c r="E27" s="8"/>
      <c r="F27" s="7"/>
      <c r="G27" s="8"/>
      <c r="H27" s="9" t="str">
        <f ca="1">IF(OR($B27="",$E27=""),"",IF($F27="Active",TODAY()-$E27,IF($G27="","",$G27-$E27)))</f>
        <v/>
      </c>
      <c r="I27" s="10" t="str">
        <f ca="1">IF($H27="","",IF($H27&gt;=[1]Guide_Brands!$B$33,"Strong",IF($H27&gt;=[1]Guide_Brands!$B$34,"Medium","Early / short")))</f>
        <v/>
      </c>
      <c r="J27" s="11"/>
      <c r="K27" s="7"/>
      <c r="L27" s="7"/>
      <c r="M27" s="7"/>
      <c r="N27" s="7"/>
      <c r="O27" s="7"/>
      <c r="P27" s="7"/>
      <c r="Q27" s="7"/>
      <c r="R27" s="7"/>
      <c r="S27" s="7"/>
    </row>
    <row r="28" spans="1:20" x14ac:dyDescent="0.3">
      <c r="B28" s="7"/>
      <c r="C28" s="7"/>
      <c r="D28" s="7"/>
      <c r="E28" s="8"/>
      <c r="F28" s="7"/>
      <c r="G28" s="8"/>
      <c r="H28" s="9" t="str">
        <f ca="1">IF(OR($B28="",$E28=""),"",IF($F28="Active",TODAY()-$E28,IF($G28="","",$G28-$E28)))</f>
        <v/>
      </c>
      <c r="I28" s="10" t="str">
        <f ca="1">IF($H28="","",IF($H28&gt;=[1]Guide_Brands!$B$33,"Strong",IF($H28&gt;=[1]Guide_Brands!$B$34,"Medium","Early / short")))</f>
        <v/>
      </c>
      <c r="J28" s="11"/>
      <c r="K28" s="7"/>
      <c r="L28" s="7"/>
      <c r="M28" s="7"/>
      <c r="N28" s="7"/>
      <c r="O28" s="7"/>
      <c r="P28" s="7"/>
      <c r="Q28" s="7"/>
      <c r="R28" s="7"/>
      <c r="S28" s="7"/>
    </row>
    <row r="29" spans="1:20" x14ac:dyDescent="0.3">
      <c r="B29" s="7"/>
      <c r="C29" s="7"/>
      <c r="D29" s="7"/>
      <c r="E29" s="8"/>
      <c r="F29" s="7"/>
      <c r="G29" s="8"/>
      <c r="H29" s="9" t="str">
        <f ca="1">IF(OR($B29="",$E29=""),"",IF($F29="Active",TODAY()-$E29,IF($G29="","",$G29-$E29)))</f>
        <v/>
      </c>
      <c r="I29" s="10" t="str">
        <f ca="1">IF($H29="","",IF($H29&gt;=[1]Guide_Brands!$B$33,"Strong",IF($H29&gt;=[1]Guide_Brands!$B$34,"Medium","Early / short")))</f>
        <v/>
      </c>
      <c r="J29" s="11"/>
      <c r="K29" s="7"/>
      <c r="L29" s="7"/>
      <c r="M29" s="7"/>
      <c r="N29" s="7"/>
      <c r="O29" s="7"/>
      <c r="P29" s="7"/>
      <c r="Q29" s="7"/>
      <c r="R29" s="7"/>
      <c r="S29" s="7"/>
    </row>
    <row r="30" spans="1:20" x14ac:dyDescent="0.3">
      <c r="B30" s="7"/>
      <c r="C30" s="7"/>
      <c r="D30" s="7"/>
      <c r="E30" s="8"/>
      <c r="F30" s="7"/>
      <c r="G30" s="8"/>
      <c r="H30" s="9" t="str">
        <f ca="1">IF(OR($B30="",$E30=""),"",IF($F30="Active",TODAY()-$E30,IF($G30="","",$G30-$E30)))</f>
        <v/>
      </c>
      <c r="I30" s="10" t="str">
        <f ca="1">IF($H30="","",IF($H30&gt;=[1]Guide_Brands!$B$33,"Strong",IF($H30&gt;=[1]Guide_Brands!$B$34,"Medium","Early / short")))</f>
        <v/>
      </c>
      <c r="J30" s="11"/>
      <c r="K30" s="7"/>
      <c r="L30" s="7"/>
      <c r="M30" s="7"/>
      <c r="N30" s="7"/>
      <c r="O30" s="7"/>
      <c r="P30" s="7"/>
      <c r="Q30" s="7"/>
      <c r="R30" s="7"/>
      <c r="S30" s="7"/>
    </row>
    <row r="31" spans="1:20" x14ac:dyDescent="0.3">
      <c r="B31" s="7"/>
      <c r="C31" s="7"/>
      <c r="D31" s="7"/>
      <c r="E31" s="8"/>
      <c r="F31" s="7"/>
      <c r="G31" s="8"/>
      <c r="H31" s="9" t="str">
        <f ca="1">IF(OR($B31="",$E31=""),"",IF($F31="Active",TODAY()-$E31,IF($G31="","",$G31-$E31)))</f>
        <v/>
      </c>
      <c r="I31" s="10" t="str">
        <f ca="1">IF($H31="","",IF($H31&gt;=[1]Guide_Brands!$B$33,"Strong",IF($H31&gt;=[1]Guide_Brands!$B$34,"Medium","Early / short")))</f>
        <v/>
      </c>
      <c r="J31" s="11"/>
      <c r="K31" s="7"/>
      <c r="L31" s="7"/>
      <c r="M31" s="7"/>
      <c r="N31" s="7"/>
      <c r="O31" s="7"/>
      <c r="P31" s="7"/>
      <c r="Q31" s="7"/>
      <c r="R31" s="7"/>
      <c r="S31" s="7"/>
    </row>
    <row r="32" spans="1:20" x14ac:dyDescent="0.3">
      <c r="B32" s="7"/>
      <c r="C32" s="7"/>
      <c r="D32" s="7"/>
      <c r="E32" s="8"/>
      <c r="F32" s="7"/>
      <c r="G32" s="8"/>
      <c r="H32" s="9" t="str">
        <f ca="1">IF(OR($B32="",$E32=""),"",IF($F32="Active",TODAY()-$E32,IF($G32="","",$G32-$E32)))</f>
        <v/>
      </c>
      <c r="I32" s="10" t="str">
        <f ca="1">IF($H32="","",IF($H32&gt;=[1]Guide_Brands!$B$33,"Strong",IF($H32&gt;=[1]Guide_Brands!$B$34,"Medium","Early / short")))</f>
        <v/>
      </c>
      <c r="J32" s="11"/>
      <c r="K32" s="7"/>
      <c r="L32" s="7"/>
      <c r="M32" s="7"/>
      <c r="N32" s="7"/>
      <c r="O32" s="7"/>
      <c r="P32" s="7"/>
      <c r="Q32" s="7"/>
      <c r="R32" s="7"/>
      <c r="S32" s="7"/>
    </row>
    <row r="33" spans="2:19" x14ac:dyDescent="0.3">
      <c r="B33" s="7"/>
      <c r="C33" s="7"/>
      <c r="D33" s="7"/>
      <c r="E33" s="8"/>
      <c r="F33" s="7"/>
      <c r="G33" s="8"/>
      <c r="H33" s="9" t="str">
        <f ca="1">IF(OR($B33="",$E33=""),"",IF($F33="Active",TODAY()-$E33,IF($G33="","",$G33-$E33)))</f>
        <v/>
      </c>
      <c r="I33" s="10" t="str">
        <f ca="1">IF($H33="","",IF($H33&gt;=[1]Guide_Brands!$B$33,"Strong",IF($H33&gt;=[1]Guide_Brands!$B$34,"Medium","Early / short")))</f>
        <v/>
      </c>
      <c r="J33" s="11"/>
      <c r="K33" s="7"/>
      <c r="L33" s="7"/>
      <c r="M33" s="7"/>
      <c r="N33" s="7"/>
      <c r="O33" s="7"/>
      <c r="P33" s="7"/>
      <c r="Q33" s="7"/>
      <c r="R33" s="7"/>
      <c r="S33" s="7"/>
    </row>
    <row r="34" spans="2:19" x14ac:dyDescent="0.3">
      <c r="B34" s="7"/>
      <c r="C34" s="7"/>
      <c r="D34" s="7"/>
      <c r="E34" s="8"/>
      <c r="F34" s="7"/>
      <c r="G34" s="8"/>
      <c r="H34" s="9" t="str">
        <f ca="1">IF(OR($B34="",$E34=""),"",IF($F34="Active",TODAY()-$E34,IF($G34="","",$G34-$E34)))</f>
        <v/>
      </c>
      <c r="I34" s="10" t="str">
        <f ca="1">IF($H34="","",IF($H34&gt;=[1]Guide_Brands!$B$33,"Strong",IF($H34&gt;=[1]Guide_Brands!$B$34,"Medium","Early / short")))</f>
        <v/>
      </c>
      <c r="J34" s="11"/>
      <c r="K34" s="7"/>
      <c r="L34" s="7"/>
      <c r="M34" s="7"/>
      <c r="N34" s="7"/>
      <c r="O34" s="7"/>
      <c r="P34" s="7"/>
      <c r="Q34" s="7"/>
      <c r="R34" s="7"/>
      <c r="S34" s="7"/>
    </row>
    <row r="35" spans="2:19" x14ac:dyDescent="0.3">
      <c r="B35" s="7"/>
      <c r="C35" s="7"/>
      <c r="D35" s="7"/>
      <c r="E35" s="8"/>
      <c r="F35" s="7"/>
      <c r="G35" s="8"/>
      <c r="H35" s="9" t="str">
        <f ca="1">IF(OR($B35="",$E35=""),"",IF($F35="Active",TODAY()-$E35,IF($G35="","",$G35-$E35)))</f>
        <v/>
      </c>
      <c r="I35" s="10" t="str">
        <f ca="1">IF($H35="","",IF($H35&gt;=[1]Guide_Brands!$B$33,"Strong",IF($H35&gt;=[1]Guide_Brands!$B$34,"Medium","Early / short")))</f>
        <v/>
      </c>
      <c r="J35" s="11"/>
      <c r="K35" s="7"/>
      <c r="L35" s="7"/>
      <c r="M35" s="7"/>
      <c r="N35" s="7"/>
      <c r="O35" s="7"/>
      <c r="P35" s="7"/>
      <c r="Q35" s="7"/>
      <c r="R35" s="7"/>
      <c r="S35" s="7"/>
    </row>
    <row r="36" spans="2:19" x14ac:dyDescent="0.3">
      <c r="B36" s="7"/>
      <c r="C36" s="7"/>
      <c r="D36" s="7"/>
      <c r="E36" s="8"/>
      <c r="F36" s="7"/>
      <c r="G36" s="8"/>
      <c r="H36" s="9" t="str">
        <f ca="1">IF(OR($B36="",$E36=""),"",IF($F36="Active",TODAY()-$E36,IF($G36="","",$G36-$E36)))</f>
        <v/>
      </c>
      <c r="I36" s="10" t="str">
        <f ca="1">IF($H36="","",IF($H36&gt;=[1]Guide_Brands!$B$33,"Strong",IF($H36&gt;=[1]Guide_Brands!$B$34,"Medium","Early / short")))</f>
        <v/>
      </c>
      <c r="J36" s="11"/>
      <c r="K36" s="7"/>
      <c r="L36" s="7"/>
      <c r="M36" s="7"/>
      <c r="N36" s="7"/>
      <c r="O36" s="7"/>
      <c r="P36" s="7"/>
      <c r="Q36" s="7"/>
      <c r="R36" s="7"/>
      <c r="S36" s="7"/>
    </row>
    <row r="37" spans="2:19" x14ac:dyDescent="0.3">
      <c r="B37" s="7"/>
      <c r="C37" s="7"/>
      <c r="D37" s="7"/>
      <c r="E37" s="8"/>
      <c r="F37" s="7"/>
      <c r="G37" s="8"/>
      <c r="H37" s="9" t="str">
        <f ca="1">IF(OR($B37="",$E37=""),"",IF($F37="Active",TODAY()-$E37,IF($G37="","",$G37-$E37)))</f>
        <v/>
      </c>
      <c r="I37" s="10" t="str">
        <f ca="1">IF($H37="","",IF($H37&gt;=[1]Guide_Brands!$B$33,"Strong",IF($H37&gt;=[1]Guide_Brands!$B$34,"Medium","Early / short")))</f>
        <v/>
      </c>
      <c r="J37" s="11"/>
      <c r="K37" s="7"/>
      <c r="L37" s="7"/>
      <c r="M37" s="7"/>
      <c r="N37" s="7"/>
      <c r="O37" s="7"/>
      <c r="P37" s="7"/>
      <c r="Q37" s="7"/>
      <c r="R37" s="7"/>
      <c r="S37" s="7"/>
    </row>
    <row r="38" spans="2:19" x14ac:dyDescent="0.3">
      <c r="B38" s="7"/>
      <c r="C38" s="7"/>
      <c r="D38" s="7"/>
      <c r="E38" s="8"/>
      <c r="F38" s="7"/>
      <c r="G38" s="8"/>
      <c r="H38" s="9" t="str">
        <f ca="1">IF(OR($B38="",$E38=""),"",IF($F38="Active",TODAY()-$E38,IF($G38="","",$G38-$E38)))</f>
        <v/>
      </c>
      <c r="I38" s="10" t="str">
        <f ca="1">IF($H38="","",IF($H38&gt;=[1]Guide_Brands!$B$33,"Strong",IF($H38&gt;=[1]Guide_Brands!$B$34,"Medium","Early / short")))</f>
        <v/>
      </c>
      <c r="J38" s="11"/>
      <c r="K38" s="7"/>
      <c r="L38" s="7"/>
      <c r="M38" s="7"/>
      <c r="N38" s="7"/>
      <c r="O38" s="7"/>
      <c r="P38" s="7"/>
      <c r="Q38" s="7"/>
      <c r="R38" s="7"/>
      <c r="S38" s="7"/>
    </row>
    <row r="39" spans="2:19" x14ac:dyDescent="0.3">
      <c r="B39" s="7"/>
      <c r="C39" s="7"/>
      <c r="D39" s="7"/>
      <c r="E39" s="8"/>
      <c r="F39" s="7"/>
      <c r="G39" s="8"/>
      <c r="H39" s="9" t="str">
        <f ca="1">IF(OR($B39="",$E39=""),"",IF($F39="Active",TODAY()-$E39,IF($G39="","",$G39-$E39)))</f>
        <v/>
      </c>
      <c r="I39" s="10" t="str">
        <f ca="1">IF($H39="","",IF($H39&gt;=[1]Guide_Brands!$B$33,"Strong",IF($H39&gt;=[1]Guide_Brands!$B$34,"Medium","Early / short")))</f>
        <v/>
      </c>
      <c r="J39" s="11"/>
      <c r="K39" s="7"/>
      <c r="L39" s="7"/>
      <c r="M39" s="7"/>
      <c r="N39" s="7"/>
      <c r="O39" s="7"/>
      <c r="P39" s="7"/>
      <c r="Q39" s="7"/>
      <c r="R39" s="7"/>
      <c r="S39" s="7"/>
    </row>
    <row r="40" spans="2:19" x14ac:dyDescent="0.3">
      <c r="B40" s="7"/>
      <c r="C40" s="7"/>
      <c r="D40" s="7"/>
      <c r="E40" s="8"/>
      <c r="F40" s="7"/>
      <c r="G40" s="8"/>
      <c r="H40" s="9" t="str">
        <f ca="1">IF(OR($B40="",$E40=""),"",IF($F40="Active",TODAY()-$E40,IF($G40="","",$G40-$E40)))</f>
        <v/>
      </c>
      <c r="I40" s="10" t="str">
        <f ca="1">IF($H40="","",IF($H40&gt;=[1]Guide_Brands!$B$33,"Strong",IF($H40&gt;=[1]Guide_Brands!$B$34,"Medium","Early / short")))</f>
        <v/>
      </c>
      <c r="J40" s="11"/>
      <c r="K40" s="7"/>
      <c r="L40" s="7"/>
      <c r="M40" s="7"/>
      <c r="N40" s="7"/>
      <c r="O40" s="7"/>
      <c r="P40" s="7"/>
      <c r="Q40" s="7"/>
      <c r="R40" s="7"/>
      <c r="S40" s="7"/>
    </row>
    <row r="41" spans="2:19" x14ac:dyDescent="0.3">
      <c r="B41" s="7"/>
      <c r="C41" s="7"/>
      <c r="D41" s="7"/>
      <c r="E41" s="8"/>
      <c r="F41" s="7"/>
      <c r="G41" s="8"/>
      <c r="H41" s="9" t="str">
        <f ca="1">IF(OR($B41="",$E41=""),"",IF($F41="Active",TODAY()-$E41,IF($G41="","",$G41-$E41)))</f>
        <v/>
      </c>
      <c r="I41" s="10" t="str">
        <f ca="1">IF($H41="","",IF($H41&gt;=[1]Guide_Brands!$B$33,"Strong",IF($H41&gt;=[1]Guide_Brands!$B$34,"Medium","Early / short")))</f>
        <v/>
      </c>
      <c r="J41" s="11"/>
      <c r="K41" s="7"/>
      <c r="L41" s="7"/>
      <c r="M41" s="7"/>
      <c r="N41" s="7"/>
      <c r="O41" s="7"/>
      <c r="P41" s="7"/>
      <c r="Q41" s="7"/>
      <c r="R41" s="7"/>
      <c r="S41" s="7"/>
    </row>
    <row r="42" spans="2:19" x14ac:dyDescent="0.3">
      <c r="B42" s="7"/>
      <c r="C42" s="7"/>
      <c r="D42" s="7"/>
      <c r="E42" s="8"/>
      <c r="F42" s="7"/>
      <c r="G42" s="8"/>
      <c r="H42" s="9" t="str">
        <f ca="1">IF(OR($B42="",$E42=""),"",IF($F42="Active",TODAY()-$E42,IF($G42="","",$G42-$E42)))</f>
        <v/>
      </c>
      <c r="I42" s="10" t="str">
        <f ca="1">IF($H42="","",IF($H42&gt;=[1]Guide_Brands!$B$33,"Strong",IF($H42&gt;=[1]Guide_Brands!$B$34,"Medium","Early / short")))</f>
        <v/>
      </c>
      <c r="J42" s="11"/>
      <c r="K42" s="7"/>
      <c r="L42" s="7"/>
      <c r="M42" s="7"/>
      <c r="N42" s="7"/>
      <c r="O42" s="7"/>
      <c r="P42" s="7"/>
      <c r="Q42" s="7"/>
      <c r="R42" s="7"/>
      <c r="S42" s="7"/>
    </row>
    <row r="43" spans="2:19" x14ac:dyDescent="0.3">
      <c r="B43" s="7"/>
      <c r="C43" s="7"/>
      <c r="D43" s="7"/>
      <c r="E43" s="8"/>
      <c r="F43" s="7"/>
      <c r="G43" s="8"/>
      <c r="H43" s="9" t="str">
        <f ca="1">IF(OR($B43="",$E43=""),"",IF($F43="Active",TODAY()-$E43,IF($G43="","",$G43-$E43)))</f>
        <v/>
      </c>
      <c r="I43" s="10" t="str">
        <f ca="1">IF($H43="","",IF($H43&gt;=[1]Guide_Brands!$B$33,"Strong",IF($H43&gt;=[1]Guide_Brands!$B$34,"Medium","Early / short")))</f>
        <v/>
      </c>
      <c r="J43" s="11"/>
      <c r="K43" s="7"/>
      <c r="L43" s="7"/>
      <c r="M43" s="7"/>
      <c r="N43" s="7"/>
      <c r="O43" s="7"/>
      <c r="P43" s="7"/>
      <c r="Q43" s="7"/>
      <c r="R43" s="7"/>
      <c r="S43" s="7"/>
    </row>
    <row r="44" spans="2:19" x14ac:dyDescent="0.3">
      <c r="B44" s="7"/>
      <c r="C44" s="7"/>
      <c r="D44" s="7"/>
      <c r="E44" s="8"/>
      <c r="F44" s="7"/>
      <c r="G44" s="8"/>
      <c r="H44" s="9" t="str">
        <f ca="1">IF(OR($B44="",$E44=""),"",IF($F44="Active",TODAY()-$E44,IF($G44="","",$G44-$E44)))</f>
        <v/>
      </c>
      <c r="I44" s="10" t="str">
        <f ca="1">IF($H44="","",IF($H44&gt;=[1]Guide_Brands!$B$33,"Strong",IF($H44&gt;=[1]Guide_Brands!$B$34,"Medium","Early / short")))</f>
        <v/>
      </c>
      <c r="J44" s="11"/>
      <c r="K44" s="7"/>
      <c r="L44" s="7"/>
      <c r="M44" s="7"/>
      <c r="N44" s="7"/>
      <c r="O44" s="7"/>
      <c r="P44" s="7"/>
      <c r="Q44" s="7"/>
      <c r="R44" s="7"/>
      <c r="S44" s="7"/>
    </row>
    <row r="45" spans="2:19" x14ac:dyDescent="0.3">
      <c r="B45" s="7"/>
      <c r="C45" s="7"/>
      <c r="D45" s="7"/>
      <c r="E45" s="8"/>
      <c r="F45" s="7"/>
      <c r="G45" s="8"/>
      <c r="H45" s="9" t="str">
        <f ca="1">IF(OR($B45="",$E45=""),"",IF($F45="Active",TODAY()-$E45,IF($G45="","",$G45-$E45)))</f>
        <v/>
      </c>
      <c r="I45" s="10" t="str">
        <f ca="1">IF($H45="","",IF($H45&gt;=[1]Guide_Brands!$B$33,"Strong",IF($H45&gt;=[1]Guide_Brands!$B$34,"Medium","Early / short")))</f>
        <v/>
      </c>
      <c r="J45" s="11"/>
      <c r="K45" s="7"/>
      <c r="L45" s="7"/>
      <c r="M45" s="7"/>
      <c r="N45" s="7"/>
      <c r="O45" s="7"/>
      <c r="P45" s="7"/>
      <c r="Q45" s="7"/>
      <c r="R45" s="7"/>
      <c r="S45" s="7"/>
    </row>
    <row r="46" spans="2:19" x14ac:dyDescent="0.3">
      <c r="B46" s="7"/>
      <c r="C46" s="7"/>
      <c r="D46" s="7"/>
      <c r="E46" s="8"/>
      <c r="F46" s="7"/>
      <c r="G46" s="8"/>
      <c r="H46" s="9" t="str">
        <f ca="1">IF(OR($B46="",$E46=""),"",IF($F46="Active",TODAY()-$E46,IF($G46="","",$G46-$E46)))</f>
        <v/>
      </c>
      <c r="I46" s="10" t="str">
        <f ca="1">IF($H46="","",IF($H46&gt;=[1]Guide_Brands!$B$33,"Strong",IF($H46&gt;=[1]Guide_Brands!$B$34,"Medium","Early / short")))</f>
        <v/>
      </c>
      <c r="J46" s="11"/>
      <c r="K46" s="7"/>
      <c r="L46" s="7"/>
      <c r="M46" s="7"/>
      <c r="N46" s="7"/>
      <c r="O46" s="7"/>
      <c r="P46" s="7"/>
      <c r="Q46" s="7"/>
      <c r="R46" s="7"/>
      <c r="S46" s="7"/>
    </row>
    <row r="47" spans="2:19" x14ac:dyDescent="0.3">
      <c r="B47" s="7"/>
      <c r="C47" s="7"/>
      <c r="D47" s="7"/>
      <c r="E47" s="8"/>
      <c r="F47" s="7"/>
      <c r="G47" s="8"/>
      <c r="H47" s="9" t="str">
        <f ca="1">IF(OR($B47="",$E47=""),"",IF($F47="Active",TODAY()-$E47,IF($G47="","",$G47-$E47)))</f>
        <v/>
      </c>
      <c r="I47" s="10" t="str">
        <f ca="1">IF($H47="","",IF($H47&gt;=[1]Guide_Brands!$B$33,"Strong",IF($H47&gt;=[1]Guide_Brands!$B$34,"Medium","Early / short")))</f>
        <v/>
      </c>
      <c r="J47" s="11"/>
      <c r="K47" s="7"/>
      <c r="L47" s="7"/>
      <c r="M47" s="7"/>
      <c r="N47" s="7"/>
      <c r="O47" s="7"/>
      <c r="P47" s="7"/>
      <c r="Q47" s="7"/>
      <c r="R47" s="7"/>
      <c r="S47" s="7"/>
    </row>
    <row r="48" spans="2:19" x14ac:dyDescent="0.3">
      <c r="B48" s="7"/>
      <c r="C48" s="7"/>
      <c r="D48" s="7"/>
      <c r="E48" s="8"/>
      <c r="F48" s="7"/>
      <c r="G48" s="8"/>
      <c r="H48" s="9" t="str">
        <f ca="1">IF(OR($B48="",$E48=""),"",IF($F48="Active",TODAY()-$E48,IF($G48="","",$G48-$E48)))</f>
        <v/>
      </c>
      <c r="I48" s="10" t="str">
        <f ca="1">IF($H48="","",IF($H48&gt;=[1]Guide_Brands!$B$33,"Strong",IF($H48&gt;=[1]Guide_Brands!$B$34,"Medium","Early / short")))</f>
        <v/>
      </c>
      <c r="J48" s="11"/>
      <c r="K48" s="7"/>
      <c r="L48" s="7"/>
      <c r="M48" s="7"/>
      <c r="N48" s="7"/>
      <c r="O48" s="7"/>
      <c r="P48" s="7"/>
      <c r="Q48" s="7"/>
      <c r="R48" s="7"/>
      <c r="S48" s="7"/>
    </row>
    <row r="49" spans="2:19" x14ac:dyDescent="0.3">
      <c r="B49" s="7"/>
      <c r="C49" s="7"/>
      <c r="D49" s="7"/>
      <c r="E49" s="8"/>
      <c r="F49" s="7"/>
      <c r="G49" s="8"/>
      <c r="H49" s="9" t="str">
        <f ca="1">IF(OR($B49="",$E49=""),"",IF($F49="Active",TODAY()-$E49,IF($G49="","",$G49-$E49)))</f>
        <v/>
      </c>
      <c r="I49" s="10" t="str">
        <f ca="1">IF($H49="","",IF($H49&gt;=[1]Guide_Brands!$B$33,"Strong",IF($H49&gt;=[1]Guide_Brands!$B$34,"Medium","Early / short")))</f>
        <v/>
      </c>
      <c r="J49" s="11"/>
      <c r="K49" s="7"/>
      <c r="L49" s="7"/>
      <c r="M49" s="7"/>
      <c r="N49" s="7"/>
      <c r="O49" s="7"/>
      <c r="P49" s="7"/>
      <c r="Q49" s="7"/>
      <c r="R49" s="7"/>
      <c r="S49" s="7"/>
    </row>
    <row r="50" spans="2:19" x14ac:dyDescent="0.3">
      <c r="B50" s="7"/>
      <c r="C50" s="7"/>
      <c r="D50" s="7"/>
      <c r="E50" s="8"/>
      <c r="F50" s="7"/>
      <c r="G50" s="8"/>
      <c r="H50" s="9" t="str">
        <f ca="1">IF(OR($B50="",$E50=""),"",IF($F50="Active",TODAY()-$E50,IF($G50="","",$G50-$E50)))</f>
        <v/>
      </c>
      <c r="I50" s="10" t="str">
        <f ca="1">IF($H50="","",IF($H50&gt;=[1]Guide_Brands!$B$33,"Strong",IF($H50&gt;=[1]Guide_Brands!$B$34,"Medium","Early / short")))</f>
        <v/>
      </c>
      <c r="J50" s="11"/>
      <c r="K50" s="7"/>
      <c r="L50" s="7"/>
      <c r="M50" s="7"/>
      <c r="N50" s="7"/>
      <c r="O50" s="7"/>
      <c r="P50" s="7"/>
      <c r="Q50" s="7"/>
      <c r="R50" s="7"/>
      <c r="S50" s="7"/>
    </row>
    <row r="51" spans="2:19" x14ac:dyDescent="0.3">
      <c r="B51" s="7"/>
      <c r="C51" s="7"/>
      <c r="D51" s="7"/>
      <c r="E51" s="8"/>
      <c r="F51" s="7"/>
      <c r="G51" s="8"/>
      <c r="H51" s="9" t="str">
        <f ca="1">IF(OR($B51="",$E51=""),"",IF($F51="Active",TODAY()-$E51,IF($G51="","",$G51-$E51)))</f>
        <v/>
      </c>
      <c r="I51" s="10" t="str">
        <f ca="1">IF($H51="","",IF($H51&gt;=[1]Guide_Brands!$B$33,"Strong",IF($H51&gt;=[1]Guide_Brands!$B$34,"Medium","Early / short")))</f>
        <v/>
      </c>
      <c r="J51" s="11"/>
      <c r="K51" s="7"/>
      <c r="L51" s="7"/>
      <c r="M51" s="7"/>
      <c r="N51" s="7"/>
      <c r="O51" s="7"/>
      <c r="P51" s="7"/>
      <c r="Q51" s="7"/>
      <c r="R51" s="7"/>
      <c r="S51" s="7"/>
    </row>
    <row r="52" spans="2:19" x14ac:dyDescent="0.3">
      <c r="B52" s="7"/>
      <c r="C52" s="7"/>
      <c r="D52" s="7"/>
      <c r="E52" s="8"/>
      <c r="F52" s="7"/>
      <c r="G52" s="8"/>
      <c r="H52" s="9" t="str">
        <f ca="1">IF(OR($B52="",$E52=""),"",IF($F52="Active",TODAY()-$E52,IF($G52="","",$G52-$E52)))</f>
        <v/>
      </c>
      <c r="I52" s="10" t="str">
        <f ca="1">IF($H52="","",IF($H52&gt;=[1]Guide_Brands!$B$33,"Strong",IF($H52&gt;=[1]Guide_Brands!$B$34,"Medium","Early / short")))</f>
        <v/>
      </c>
      <c r="J52" s="11"/>
      <c r="K52" s="7"/>
      <c r="L52" s="7"/>
      <c r="M52" s="7"/>
      <c r="N52" s="7"/>
      <c r="O52" s="7"/>
      <c r="P52" s="7"/>
      <c r="Q52" s="7"/>
      <c r="R52" s="7"/>
      <c r="S52" s="7"/>
    </row>
    <row r="53" spans="2:19" x14ac:dyDescent="0.3">
      <c r="B53" s="7"/>
      <c r="C53" s="7"/>
      <c r="D53" s="7"/>
      <c r="E53" s="8"/>
      <c r="F53" s="7"/>
      <c r="G53" s="8"/>
      <c r="H53" s="9" t="str">
        <f ca="1">IF(OR($B53="",$E53=""),"",IF($F53="Active",TODAY()-$E53,IF($G53="","",$G53-$E53)))</f>
        <v/>
      </c>
      <c r="I53" s="10" t="str">
        <f ca="1">IF($H53="","",IF($H53&gt;=[1]Guide_Brands!$B$33,"Strong",IF($H53&gt;=[1]Guide_Brands!$B$34,"Medium","Early / short")))</f>
        <v/>
      </c>
      <c r="J53" s="11"/>
      <c r="K53" s="7"/>
      <c r="L53" s="7"/>
      <c r="M53" s="7"/>
      <c r="N53" s="7"/>
      <c r="O53" s="7"/>
      <c r="P53" s="7"/>
      <c r="Q53" s="7"/>
      <c r="R53" s="7"/>
      <c r="S53" s="7"/>
    </row>
    <row r="54" spans="2:19" x14ac:dyDescent="0.3">
      <c r="B54" s="7"/>
      <c r="C54" s="7"/>
      <c r="D54" s="7"/>
      <c r="E54" s="8"/>
      <c r="F54" s="7"/>
      <c r="G54" s="8"/>
      <c r="H54" s="9" t="str">
        <f ca="1">IF(OR($B54="",$E54=""),"",IF($F54="Active",TODAY()-$E54,IF($G54="","",$G54-$E54)))</f>
        <v/>
      </c>
      <c r="I54" s="10" t="str">
        <f ca="1">IF($H54="","",IF($H54&gt;=[1]Guide_Brands!$B$33,"Strong",IF($H54&gt;=[1]Guide_Brands!$B$34,"Medium","Early / short")))</f>
        <v/>
      </c>
      <c r="J54" s="11"/>
      <c r="K54" s="7"/>
      <c r="L54" s="7"/>
      <c r="M54" s="7"/>
      <c r="N54" s="7"/>
      <c r="O54" s="7"/>
      <c r="P54" s="7"/>
      <c r="Q54" s="7"/>
      <c r="R54" s="7"/>
      <c r="S54" s="7"/>
    </row>
    <row r="55" spans="2:19" x14ac:dyDescent="0.3">
      <c r="B55" s="7"/>
      <c r="C55" s="7"/>
      <c r="D55" s="7"/>
      <c r="E55" s="8"/>
      <c r="F55" s="7"/>
      <c r="G55" s="8"/>
      <c r="H55" s="9" t="str">
        <f ca="1">IF(OR($B55="",$E55=""),"",IF($F55="Active",TODAY()-$E55,IF($G55="","",$G55-$E55)))</f>
        <v/>
      </c>
      <c r="I55" s="10" t="str">
        <f ca="1">IF($H55="","",IF($H55&gt;=[1]Guide_Brands!$B$33,"Strong",IF($H55&gt;=[1]Guide_Brands!$B$34,"Medium","Early / short")))</f>
        <v/>
      </c>
      <c r="J55" s="11"/>
      <c r="K55" s="7"/>
      <c r="L55" s="7"/>
      <c r="M55" s="7"/>
      <c r="N55" s="7"/>
      <c r="O55" s="7"/>
      <c r="P55" s="7"/>
      <c r="Q55" s="7"/>
      <c r="R55" s="7"/>
      <c r="S55" s="7"/>
    </row>
    <row r="56" spans="2:19" x14ac:dyDescent="0.3">
      <c r="B56" s="7"/>
      <c r="C56" s="7"/>
      <c r="D56" s="7"/>
      <c r="E56" s="8"/>
      <c r="F56" s="7"/>
      <c r="G56" s="8"/>
      <c r="H56" s="9" t="str">
        <f ca="1">IF(OR($B56="",$E56=""),"",IF($F56="Active",TODAY()-$E56,IF($G56="","",$G56-$E56)))</f>
        <v/>
      </c>
      <c r="I56" s="10" t="str">
        <f ca="1">IF($H56="","",IF($H56&gt;=[1]Guide_Brands!$B$33,"Strong",IF($H56&gt;=[1]Guide_Brands!$B$34,"Medium","Early / short")))</f>
        <v/>
      </c>
      <c r="J56" s="11"/>
      <c r="K56" s="7"/>
      <c r="L56" s="7"/>
      <c r="M56" s="7"/>
      <c r="N56" s="7"/>
      <c r="O56" s="7"/>
      <c r="P56" s="7"/>
      <c r="Q56" s="7"/>
      <c r="R56" s="7"/>
      <c r="S56" s="7"/>
    </row>
    <row r="57" spans="2:19" x14ac:dyDescent="0.3">
      <c r="B57" s="7"/>
      <c r="C57" s="7"/>
      <c r="D57" s="7"/>
      <c r="E57" s="8"/>
      <c r="F57" s="7"/>
      <c r="G57" s="8"/>
      <c r="H57" s="9" t="str">
        <f ca="1">IF(OR($B57="",$E57=""),"",IF($F57="Active",TODAY()-$E57,IF($G57="","",$G57-$E57)))</f>
        <v/>
      </c>
      <c r="I57" s="10" t="str">
        <f ca="1">IF($H57="","",IF($H57&gt;=[1]Guide_Brands!$B$33,"Strong",IF($H57&gt;=[1]Guide_Brands!$B$34,"Medium","Early / short")))</f>
        <v/>
      </c>
      <c r="J57" s="11"/>
      <c r="K57" s="7"/>
      <c r="L57" s="7"/>
      <c r="M57" s="7"/>
      <c r="N57" s="7"/>
      <c r="O57" s="7"/>
      <c r="P57" s="7"/>
      <c r="Q57" s="7"/>
      <c r="R57" s="7"/>
      <c r="S57" s="7"/>
    </row>
    <row r="58" spans="2:19" x14ac:dyDescent="0.3">
      <c r="B58" s="7"/>
      <c r="C58" s="7"/>
      <c r="D58" s="7"/>
      <c r="E58" s="8"/>
      <c r="F58" s="7"/>
      <c r="G58" s="8"/>
      <c r="H58" s="9" t="str">
        <f ca="1">IF(OR($B58="",$E58=""),"",IF($F58="Active",TODAY()-$E58,IF($G58="","",$G58-$E58)))</f>
        <v/>
      </c>
      <c r="I58" s="10" t="str">
        <f ca="1">IF($H58="","",IF($H58&gt;=[1]Guide_Brands!$B$33,"Strong",IF($H58&gt;=[1]Guide_Brands!$B$34,"Medium","Early / short")))</f>
        <v/>
      </c>
      <c r="J58" s="11"/>
      <c r="K58" s="7"/>
      <c r="L58" s="7"/>
      <c r="M58" s="7"/>
      <c r="N58" s="7"/>
      <c r="O58" s="7"/>
      <c r="P58" s="7"/>
      <c r="Q58" s="7"/>
      <c r="R58" s="7"/>
      <c r="S58" s="7"/>
    </row>
    <row r="59" spans="2:19" x14ac:dyDescent="0.3">
      <c r="B59" s="7"/>
      <c r="C59" s="7"/>
      <c r="D59" s="7"/>
      <c r="E59" s="8"/>
      <c r="F59" s="7"/>
      <c r="G59" s="8"/>
      <c r="H59" s="9" t="str">
        <f ca="1">IF(OR($B59="",$E59=""),"",IF($F59="Active",TODAY()-$E59,IF($G59="","",$G59-$E59)))</f>
        <v/>
      </c>
      <c r="I59" s="10" t="str">
        <f ca="1">IF($H59="","",IF($H59&gt;=[1]Guide_Brands!$B$33,"Strong",IF($H59&gt;=[1]Guide_Brands!$B$34,"Medium","Early / short")))</f>
        <v/>
      </c>
      <c r="J59" s="11"/>
      <c r="K59" s="7"/>
      <c r="L59" s="7"/>
      <c r="M59" s="7"/>
      <c r="N59" s="7"/>
      <c r="O59" s="7"/>
      <c r="P59" s="7"/>
      <c r="Q59" s="7"/>
      <c r="R59" s="7"/>
      <c r="S59" s="7"/>
    </row>
    <row r="60" spans="2:19" x14ac:dyDescent="0.3">
      <c r="B60" s="7"/>
      <c r="C60" s="7"/>
      <c r="D60" s="7"/>
      <c r="E60" s="8"/>
      <c r="F60" s="7"/>
      <c r="G60" s="8"/>
      <c r="H60" s="9" t="str">
        <f ca="1">IF(OR($B60="",$E60=""),"",IF($F60="Active",TODAY()-$E60,IF($G60="","",$G60-$E60)))</f>
        <v/>
      </c>
      <c r="I60" s="10" t="str">
        <f ca="1">IF($H60="","",IF($H60&gt;=[1]Guide_Brands!$B$33,"Strong",IF($H60&gt;=[1]Guide_Brands!$B$34,"Medium","Early / short")))</f>
        <v/>
      </c>
      <c r="J60" s="11"/>
      <c r="K60" s="7"/>
      <c r="L60" s="7"/>
      <c r="M60" s="7"/>
      <c r="N60" s="7"/>
      <c r="O60" s="7"/>
      <c r="P60" s="7"/>
      <c r="Q60" s="7"/>
      <c r="R60" s="7"/>
      <c r="S60" s="7"/>
    </row>
    <row r="61" spans="2:19" x14ac:dyDescent="0.3">
      <c r="B61" s="7"/>
      <c r="C61" s="7"/>
      <c r="D61" s="7"/>
      <c r="E61" s="8"/>
      <c r="F61" s="7"/>
      <c r="G61" s="8"/>
      <c r="H61" s="9" t="str">
        <f ca="1">IF(OR($B61="",$E61=""),"",IF($F61="Active",TODAY()-$E61,IF($G61="","",$G61-$E61)))</f>
        <v/>
      </c>
      <c r="I61" s="10" t="str">
        <f ca="1">IF($H61="","",IF($H61&gt;=[1]Guide_Brands!$B$33,"Strong",IF($H61&gt;=[1]Guide_Brands!$B$34,"Medium","Early / short")))</f>
        <v/>
      </c>
      <c r="J61" s="11"/>
      <c r="K61" s="7"/>
      <c r="L61" s="7"/>
      <c r="M61" s="7"/>
      <c r="N61" s="7"/>
      <c r="O61" s="7"/>
      <c r="P61" s="7"/>
      <c r="Q61" s="7"/>
      <c r="R61" s="7"/>
      <c r="S61" s="7"/>
    </row>
    <row r="62" spans="2:19" x14ac:dyDescent="0.3">
      <c r="B62" s="7"/>
      <c r="C62" s="7"/>
      <c r="D62" s="7"/>
      <c r="E62" s="8"/>
      <c r="F62" s="7"/>
      <c r="G62" s="8"/>
      <c r="H62" s="9" t="str">
        <f ca="1">IF(OR($B62="",$E62=""),"",IF($F62="Active",TODAY()-$E62,IF($G62="","",$G62-$E62)))</f>
        <v/>
      </c>
      <c r="I62" s="10" t="str">
        <f ca="1">IF($H62="","",IF($H62&gt;=[1]Guide_Brands!$B$33,"Strong",IF($H62&gt;=[1]Guide_Brands!$B$34,"Medium","Early / short")))</f>
        <v/>
      </c>
      <c r="J62" s="11"/>
      <c r="K62" s="7"/>
      <c r="L62" s="7"/>
      <c r="M62" s="7"/>
      <c r="N62" s="7"/>
      <c r="O62" s="7"/>
      <c r="P62" s="7"/>
      <c r="Q62" s="7"/>
      <c r="R62" s="7"/>
      <c r="S62" s="7"/>
    </row>
    <row r="63" spans="2:19" x14ac:dyDescent="0.3">
      <c r="B63" s="7"/>
      <c r="C63" s="7"/>
      <c r="D63" s="7"/>
      <c r="E63" s="8"/>
      <c r="F63" s="7"/>
      <c r="G63" s="8"/>
      <c r="H63" s="9" t="str">
        <f ca="1">IF(OR($B63="",$E63=""),"",IF($F63="Active",TODAY()-$E63,IF($G63="","",$G63-$E63)))</f>
        <v/>
      </c>
      <c r="I63" s="10" t="str">
        <f ca="1">IF($H63="","",IF($H63&gt;=[1]Guide_Brands!$B$33,"Strong",IF($H63&gt;=[1]Guide_Brands!$B$34,"Medium","Early / short")))</f>
        <v/>
      </c>
      <c r="J63" s="11"/>
      <c r="K63" s="7"/>
      <c r="L63" s="7"/>
      <c r="M63" s="7"/>
      <c r="N63" s="7"/>
      <c r="O63" s="7"/>
      <c r="P63" s="7"/>
      <c r="Q63" s="7"/>
      <c r="R63" s="7"/>
      <c r="S63" s="7"/>
    </row>
    <row r="64" spans="2:19" x14ac:dyDescent="0.3">
      <c r="B64" s="7"/>
      <c r="C64" s="7"/>
      <c r="D64" s="7"/>
      <c r="E64" s="8"/>
      <c r="F64" s="7"/>
      <c r="G64" s="8"/>
      <c r="H64" s="9" t="str">
        <f ca="1">IF(OR($B64="",$E64=""),"",IF($F64="Active",TODAY()-$E64,IF($G64="","",$G64-$E64)))</f>
        <v/>
      </c>
      <c r="I64" s="10" t="str">
        <f ca="1">IF($H64="","",IF($H64&gt;=[1]Guide_Brands!$B$33,"Strong",IF($H64&gt;=[1]Guide_Brands!$B$34,"Medium","Early / short")))</f>
        <v/>
      </c>
      <c r="J64" s="11"/>
      <c r="K64" s="7"/>
      <c r="L64" s="7"/>
      <c r="M64" s="7"/>
      <c r="N64" s="7"/>
      <c r="O64" s="7"/>
      <c r="P64" s="7"/>
      <c r="Q64" s="7"/>
      <c r="R64" s="7"/>
      <c r="S64" s="7"/>
    </row>
    <row r="65" spans="2:19" x14ac:dyDescent="0.3">
      <c r="B65" s="7"/>
      <c r="C65" s="7"/>
      <c r="D65" s="7"/>
      <c r="E65" s="8"/>
      <c r="F65" s="7"/>
      <c r="G65" s="8"/>
      <c r="H65" s="9" t="str">
        <f ca="1">IF(OR($B65="",$E65=""),"",IF($F65="Active",TODAY()-$E65,IF($G65="","",$G65-$E65)))</f>
        <v/>
      </c>
      <c r="I65" s="10" t="str">
        <f ca="1">IF($H65="","",IF($H65&gt;=[1]Guide_Brands!$B$33,"Strong",IF($H65&gt;=[1]Guide_Brands!$B$34,"Medium","Early / short")))</f>
        <v/>
      </c>
      <c r="J65" s="11"/>
      <c r="K65" s="7"/>
      <c r="L65" s="7"/>
      <c r="M65" s="7"/>
      <c r="N65" s="7"/>
      <c r="O65" s="7"/>
      <c r="P65" s="7"/>
      <c r="Q65" s="7"/>
      <c r="R65" s="7"/>
      <c r="S65" s="7"/>
    </row>
    <row r="66" spans="2:19" x14ac:dyDescent="0.3">
      <c r="B66" s="7"/>
      <c r="C66" s="7"/>
      <c r="D66" s="7"/>
      <c r="E66" s="8"/>
      <c r="F66" s="7"/>
      <c r="G66" s="8"/>
      <c r="H66" s="9" t="str">
        <f t="shared" ref="H66:H129" ca="1" si="0">IF(OR($B66="",$E66=""),"",IF($F66="Active",TODAY()-$E66,IF($G66="","",$G66-$E66)))</f>
        <v/>
      </c>
      <c r="I66" s="10" t="str">
        <f ca="1">IF($H66="","",IF($H66&gt;=[1]Guide_Brands!$B$33,"Strong",IF($H66&gt;=[1]Guide_Brands!$B$34,"Medium","Early / short")))</f>
        <v/>
      </c>
      <c r="J66" s="11"/>
      <c r="K66" s="7"/>
      <c r="L66" s="7"/>
      <c r="M66" s="7"/>
      <c r="N66" s="7"/>
      <c r="O66" s="7"/>
      <c r="P66" s="7"/>
      <c r="Q66" s="7"/>
      <c r="R66" s="7"/>
      <c r="S66" s="7"/>
    </row>
    <row r="67" spans="2:19" x14ac:dyDescent="0.3">
      <c r="B67" s="7"/>
      <c r="C67" s="7"/>
      <c r="D67" s="7"/>
      <c r="E67" s="8"/>
      <c r="F67" s="7"/>
      <c r="G67" s="8"/>
      <c r="H67" s="9" t="str">
        <f t="shared" ca="1" si="0"/>
        <v/>
      </c>
      <c r="I67" s="10" t="str">
        <f ca="1">IF($H67="","",IF($H67&gt;=[1]Guide_Brands!$B$33,"Strong",IF($H67&gt;=[1]Guide_Brands!$B$34,"Medium","Early / short")))</f>
        <v/>
      </c>
      <c r="J67" s="11"/>
      <c r="K67" s="7"/>
      <c r="L67" s="7"/>
      <c r="M67" s="7"/>
      <c r="N67" s="7"/>
      <c r="O67" s="7"/>
      <c r="P67" s="7"/>
      <c r="Q67" s="7"/>
      <c r="R67" s="7"/>
      <c r="S67" s="7"/>
    </row>
    <row r="68" spans="2:19" x14ac:dyDescent="0.3">
      <c r="B68" s="7"/>
      <c r="C68" s="7"/>
      <c r="D68" s="7"/>
      <c r="E68" s="8"/>
      <c r="F68" s="7"/>
      <c r="G68" s="8"/>
      <c r="H68" s="9" t="str">
        <f t="shared" ca="1" si="0"/>
        <v/>
      </c>
      <c r="I68" s="10" t="str">
        <f ca="1">IF($H68="","",IF($H68&gt;=[1]Guide_Brands!$B$33,"Strong",IF($H68&gt;=[1]Guide_Brands!$B$34,"Medium","Early / short")))</f>
        <v/>
      </c>
      <c r="J68" s="11"/>
      <c r="K68" s="7"/>
      <c r="L68" s="7"/>
      <c r="M68" s="7"/>
      <c r="N68" s="7"/>
      <c r="O68" s="7"/>
      <c r="P68" s="7"/>
      <c r="Q68" s="7"/>
      <c r="R68" s="7"/>
      <c r="S68" s="7"/>
    </row>
    <row r="69" spans="2:19" x14ac:dyDescent="0.3">
      <c r="B69" s="7"/>
      <c r="C69" s="7"/>
      <c r="D69" s="7"/>
      <c r="E69" s="8"/>
      <c r="F69" s="7"/>
      <c r="G69" s="8"/>
      <c r="H69" s="9" t="str">
        <f t="shared" ca="1" si="0"/>
        <v/>
      </c>
      <c r="I69" s="10" t="str">
        <f ca="1">IF($H69="","",IF($H69&gt;=[1]Guide_Brands!$B$33,"Strong",IF($H69&gt;=[1]Guide_Brands!$B$34,"Medium","Early / short")))</f>
        <v/>
      </c>
      <c r="J69" s="11"/>
      <c r="K69" s="7"/>
      <c r="L69" s="7"/>
      <c r="M69" s="7"/>
      <c r="N69" s="7"/>
      <c r="O69" s="7"/>
      <c r="P69" s="7"/>
      <c r="Q69" s="7"/>
      <c r="R69" s="7"/>
      <c r="S69" s="7"/>
    </row>
    <row r="70" spans="2:19" x14ac:dyDescent="0.3">
      <c r="B70" s="7"/>
      <c r="C70" s="7"/>
      <c r="D70" s="7"/>
      <c r="E70" s="8"/>
      <c r="F70" s="7"/>
      <c r="G70" s="8"/>
      <c r="H70" s="9" t="str">
        <f t="shared" ca="1" si="0"/>
        <v/>
      </c>
      <c r="I70" s="10" t="str">
        <f ca="1">IF($H70="","",IF($H70&gt;=[1]Guide_Brands!$B$33,"Strong",IF($H70&gt;=[1]Guide_Brands!$B$34,"Medium","Early / short")))</f>
        <v/>
      </c>
      <c r="J70" s="11"/>
      <c r="K70" s="7"/>
      <c r="L70" s="7"/>
      <c r="M70" s="7"/>
      <c r="N70" s="7"/>
      <c r="O70" s="7"/>
      <c r="P70" s="7"/>
      <c r="Q70" s="7"/>
      <c r="R70" s="7"/>
      <c r="S70" s="7"/>
    </row>
    <row r="71" spans="2:19" x14ac:dyDescent="0.3">
      <c r="B71" s="7"/>
      <c r="C71" s="7"/>
      <c r="D71" s="7"/>
      <c r="E71" s="8"/>
      <c r="F71" s="7"/>
      <c r="G71" s="8"/>
      <c r="H71" s="9" t="str">
        <f t="shared" ca="1" si="0"/>
        <v/>
      </c>
      <c r="I71" s="10" t="str">
        <f ca="1">IF($H71="","",IF($H71&gt;=[1]Guide_Brands!$B$33,"Strong",IF($H71&gt;=[1]Guide_Brands!$B$34,"Medium","Early / short")))</f>
        <v/>
      </c>
      <c r="J71" s="11"/>
      <c r="K71" s="7"/>
      <c r="L71" s="7"/>
      <c r="M71" s="7"/>
      <c r="N71" s="7"/>
      <c r="O71" s="7"/>
      <c r="P71" s="7"/>
      <c r="Q71" s="7"/>
      <c r="R71" s="7"/>
      <c r="S71" s="7"/>
    </row>
    <row r="72" spans="2:19" x14ac:dyDescent="0.3">
      <c r="B72" s="7"/>
      <c r="C72" s="7"/>
      <c r="D72" s="7"/>
      <c r="E72" s="8"/>
      <c r="F72" s="7"/>
      <c r="G72" s="8"/>
      <c r="H72" s="9" t="str">
        <f t="shared" ca="1" si="0"/>
        <v/>
      </c>
      <c r="I72" s="10" t="str">
        <f ca="1">IF($H72="","",IF($H72&gt;=[1]Guide_Brands!$B$33,"Strong",IF($H72&gt;=[1]Guide_Brands!$B$34,"Medium","Early / short")))</f>
        <v/>
      </c>
      <c r="J72" s="11"/>
      <c r="K72" s="7"/>
      <c r="L72" s="7"/>
      <c r="M72" s="7"/>
      <c r="N72" s="7"/>
      <c r="O72" s="7"/>
      <c r="P72" s="7"/>
      <c r="Q72" s="7"/>
      <c r="R72" s="7"/>
      <c r="S72" s="7"/>
    </row>
    <row r="73" spans="2:19" x14ac:dyDescent="0.3">
      <c r="B73" s="7"/>
      <c r="C73" s="7"/>
      <c r="D73" s="7"/>
      <c r="E73" s="8"/>
      <c r="F73" s="7"/>
      <c r="G73" s="8"/>
      <c r="H73" s="9" t="str">
        <f t="shared" ca="1" si="0"/>
        <v/>
      </c>
      <c r="I73" s="10" t="str">
        <f ca="1">IF($H73="","",IF($H73&gt;=[1]Guide_Brands!$B$33,"Strong",IF($H73&gt;=[1]Guide_Brands!$B$34,"Medium","Early / short")))</f>
        <v/>
      </c>
      <c r="J73" s="11"/>
      <c r="K73" s="7"/>
      <c r="L73" s="7"/>
      <c r="M73" s="7"/>
      <c r="N73" s="7"/>
      <c r="O73" s="7"/>
      <c r="P73" s="7"/>
      <c r="Q73" s="7"/>
      <c r="R73" s="7"/>
      <c r="S73" s="7"/>
    </row>
    <row r="74" spans="2:19" x14ac:dyDescent="0.3">
      <c r="B74" s="7"/>
      <c r="C74" s="7"/>
      <c r="D74" s="7"/>
      <c r="E74" s="8"/>
      <c r="F74" s="7"/>
      <c r="G74" s="8"/>
      <c r="H74" s="9" t="str">
        <f t="shared" ca="1" si="0"/>
        <v/>
      </c>
      <c r="I74" s="10" t="str">
        <f ca="1">IF($H74="","",IF($H74&gt;=[1]Guide_Brands!$B$33,"Strong",IF($H74&gt;=[1]Guide_Brands!$B$34,"Medium","Early / short")))</f>
        <v/>
      </c>
      <c r="J74" s="11"/>
      <c r="K74" s="7"/>
      <c r="L74" s="7"/>
      <c r="M74" s="7"/>
      <c r="N74" s="7"/>
      <c r="O74" s="7"/>
      <c r="P74" s="7"/>
      <c r="Q74" s="7"/>
      <c r="R74" s="7"/>
      <c r="S74" s="7"/>
    </row>
    <row r="75" spans="2:19" x14ac:dyDescent="0.3">
      <c r="B75" s="7"/>
      <c r="C75" s="7"/>
      <c r="D75" s="7"/>
      <c r="E75" s="8"/>
      <c r="F75" s="7"/>
      <c r="G75" s="8"/>
      <c r="H75" s="9" t="str">
        <f t="shared" ca="1" si="0"/>
        <v/>
      </c>
      <c r="I75" s="10" t="str">
        <f ca="1">IF($H75="","",IF($H75&gt;=[1]Guide_Brands!$B$33,"Strong",IF($H75&gt;=[1]Guide_Brands!$B$34,"Medium","Early / short")))</f>
        <v/>
      </c>
      <c r="J75" s="11"/>
      <c r="K75" s="7"/>
      <c r="L75" s="7"/>
      <c r="M75" s="7"/>
      <c r="N75" s="7"/>
      <c r="O75" s="7"/>
      <c r="P75" s="7"/>
      <c r="Q75" s="7"/>
      <c r="R75" s="7"/>
      <c r="S75" s="7"/>
    </row>
    <row r="76" spans="2:19" x14ac:dyDescent="0.3">
      <c r="B76" s="7"/>
      <c r="C76" s="7"/>
      <c r="D76" s="7"/>
      <c r="E76" s="8"/>
      <c r="F76" s="7"/>
      <c r="G76" s="8"/>
      <c r="H76" s="9" t="str">
        <f t="shared" ca="1" si="0"/>
        <v/>
      </c>
      <c r="I76" s="10" t="str">
        <f ca="1">IF($H76="","",IF($H76&gt;=[1]Guide_Brands!$B$33,"Strong",IF($H76&gt;=[1]Guide_Brands!$B$34,"Medium","Early / short")))</f>
        <v/>
      </c>
      <c r="J76" s="11"/>
      <c r="K76" s="7"/>
      <c r="L76" s="7"/>
      <c r="M76" s="7"/>
      <c r="N76" s="7"/>
      <c r="O76" s="7"/>
      <c r="P76" s="7"/>
      <c r="Q76" s="7"/>
      <c r="R76" s="7"/>
      <c r="S76" s="7"/>
    </row>
    <row r="77" spans="2:19" x14ac:dyDescent="0.3">
      <c r="B77" s="7"/>
      <c r="C77" s="7"/>
      <c r="D77" s="7"/>
      <c r="E77" s="8"/>
      <c r="F77" s="7"/>
      <c r="G77" s="8"/>
      <c r="H77" s="9" t="str">
        <f t="shared" ca="1" si="0"/>
        <v/>
      </c>
      <c r="I77" s="10" t="str">
        <f ca="1">IF($H77="","",IF($H77&gt;=[1]Guide_Brands!$B$33,"Strong",IF($H77&gt;=[1]Guide_Brands!$B$34,"Medium","Early / short")))</f>
        <v/>
      </c>
      <c r="J77" s="11"/>
      <c r="K77" s="7"/>
      <c r="L77" s="7"/>
      <c r="M77" s="7"/>
      <c r="N77" s="7"/>
      <c r="O77" s="7"/>
      <c r="P77" s="7"/>
      <c r="Q77" s="7"/>
      <c r="R77" s="7"/>
      <c r="S77" s="7"/>
    </row>
    <row r="78" spans="2:19" x14ac:dyDescent="0.3">
      <c r="B78" s="7"/>
      <c r="C78" s="7"/>
      <c r="D78" s="7"/>
      <c r="E78" s="8"/>
      <c r="F78" s="7"/>
      <c r="G78" s="8"/>
      <c r="H78" s="9" t="str">
        <f t="shared" ca="1" si="0"/>
        <v/>
      </c>
      <c r="I78" s="10" t="str">
        <f ca="1">IF($H78="","",IF($H78&gt;=[1]Guide_Brands!$B$33,"Strong",IF($H78&gt;=[1]Guide_Brands!$B$34,"Medium","Early / short")))</f>
        <v/>
      </c>
      <c r="J78" s="11"/>
      <c r="K78" s="7"/>
      <c r="L78" s="7"/>
      <c r="M78" s="7"/>
      <c r="N78" s="7"/>
      <c r="O78" s="7"/>
      <c r="P78" s="7"/>
      <c r="Q78" s="7"/>
      <c r="R78" s="7"/>
      <c r="S78" s="7"/>
    </row>
    <row r="79" spans="2:19" x14ac:dyDescent="0.3">
      <c r="B79" s="7"/>
      <c r="C79" s="7"/>
      <c r="D79" s="7"/>
      <c r="E79" s="8"/>
      <c r="F79" s="7"/>
      <c r="G79" s="8"/>
      <c r="H79" s="9" t="str">
        <f t="shared" ca="1" si="0"/>
        <v/>
      </c>
      <c r="I79" s="10" t="str">
        <f ca="1">IF($H79="","",IF($H79&gt;=[1]Guide_Brands!$B$33,"Strong",IF($H79&gt;=[1]Guide_Brands!$B$34,"Medium","Early / short")))</f>
        <v/>
      </c>
      <c r="J79" s="11"/>
      <c r="K79" s="7"/>
      <c r="L79" s="7"/>
      <c r="M79" s="7"/>
      <c r="N79" s="7"/>
      <c r="O79" s="7"/>
      <c r="P79" s="7"/>
      <c r="Q79" s="7"/>
      <c r="R79" s="7"/>
      <c r="S79" s="7"/>
    </row>
    <row r="80" spans="2:19" x14ac:dyDescent="0.3">
      <c r="B80" s="7"/>
      <c r="C80" s="7"/>
      <c r="D80" s="7"/>
      <c r="E80" s="8"/>
      <c r="F80" s="7"/>
      <c r="G80" s="8"/>
      <c r="H80" s="9" t="str">
        <f t="shared" ca="1" si="0"/>
        <v/>
      </c>
      <c r="I80" s="10" t="str">
        <f ca="1">IF($H80="","",IF($H80&gt;=[1]Guide_Brands!$B$33,"Strong",IF($H80&gt;=[1]Guide_Brands!$B$34,"Medium","Early / short")))</f>
        <v/>
      </c>
      <c r="J80" s="11"/>
      <c r="K80" s="7"/>
      <c r="L80" s="7"/>
      <c r="M80" s="7"/>
      <c r="N80" s="7"/>
      <c r="O80" s="7"/>
      <c r="P80" s="7"/>
      <c r="Q80" s="7"/>
      <c r="R80" s="7"/>
      <c r="S80" s="7"/>
    </row>
    <row r="81" spans="2:19" x14ac:dyDescent="0.3">
      <c r="B81" s="7"/>
      <c r="C81" s="7"/>
      <c r="D81" s="7"/>
      <c r="E81" s="8"/>
      <c r="F81" s="7"/>
      <c r="G81" s="8"/>
      <c r="H81" s="9" t="str">
        <f t="shared" ca="1" si="0"/>
        <v/>
      </c>
      <c r="I81" s="10" t="str">
        <f ca="1">IF($H81="","",IF($H81&gt;=[1]Guide_Brands!$B$33,"Strong",IF($H81&gt;=[1]Guide_Brands!$B$34,"Medium","Early / short")))</f>
        <v/>
      </c>
      <c r="J81" s="11"/>
      <c r="K81" s="7"/>
      <c r="L81" s="7"/>
      <c r="M81" s="7"/>
      <c r="N81" s="7"/>
      <c r="O81" s="7"/>
      <c r="P81" s="7"/>
      <c r="Q81" s="7"/>
      <c r="R81" s="7"/>
      <c r="S81" s="7"/>
    </row>
    <row r="82" spans="2:19" x14ac:dyDescent="0.3">
      <c r="B82" s="7"/>
      <c r="C82" s="7"/>
      <c r="D82" s="7"/>
      <c r="E82" s="8"/>
      <c r="F82" s="7"/>
      <c r="G82" s="8"/>
      <c r="H82" s="9" t="str">
        <f t="shared" ca="1" si="0"/>
        <v/>
      </c>
      <c r="I82" s="10" t="str">
        <f ca="1">IF($H82="","",IF($H82&gt;=[1]Guide_Brands!$B$33,"Strong",IF($H82&gt;=[1]Guide_Brands!$B$34,"Medium","Early / short")))</f>
        <v/>
      </c>
      <c r="J82" s="11"/>
      <c r="K82" s="7"/>
      <c r="L82" s="7"/>
      <c r="M82" s="7"/>
      <c r="N82" s="7"/>
      <c r="O82" s="7"/>
      <c r="P82" s="7"/>
      <c r="Q82" s="7"/>
      <c r="R82" s="7"/>
      <c r="S82" s="7"/>
    </row>
    <row r="83" spans="2:19" x14ac:dyDescent="0.3">
      <c r="B83" s="7"/>
      <c r="C83" s="7"/>
      <c r="D83" s="7"/>
      <c r="E83" s="8"/>
      <c r="F83" s="7"/>
      <c r="G83" s="8"/>
      <c r="H83" s="9" t="str">
        <f t="shared" ca="1" si="0"/>
        <v/>
      </c>
      <c r="I83" s="10" t="str">
        <f ca="1">IF($H83="","",IF($H83&gt;=[1]Guide_Brands!$B$33,"Strong",IF($H83&gt;=[1]Guide_Brands!$B$34,"Medium","Early / short")))</f>
        <v/>
      </c>
      <c r="J83" s="11"/>
      <c r="K83" s="7"/>
      <c r="L83" s="7"/>
      <c r="M83" s="7"/>
      <c r="N83" s="7"/>
      <c r="O83" s="7"/>
      <c r="P83" s="7"/>
      <c r="Q83" s="7"/>
      <c r="R83" s="7"/>
      <c r="S83" s="7"/>
    </row>
    <row r="84" spans="2:19" x14ac:dyDescent="0.3">
      <c r="B84" s="7"/>
      <c r="C84" s="7"/>
      <c r="D84" s="7"/>
      <c r="E84" s="8"/>
      <c r="F84" s="7"/>
      <c r="G84" s="8"/>
      <c r="H84" s="9" t="str">
        <f t="shared" ca="1" si="0"/>
        <v/>
      </c>
      <c r="I84" s="10" t="str">
        <f ca="1">IF($H84="","",IF($H84&gt;=[1]Guide_Brands!$B$33,"Strong",IF($H84&gt;=[1]Guide_Brands!$B$34,"Medium","Early / short")))</f>
        <v/>
      </c>
      <c r="J84" s="11"/>
      <c r="K84" s="7"/>
      <c r="L84" s="7"/>
      <c r="M84" s="7"/>
      <c r="N84" s="7"/>
      <c r="O84" s="7"/>
      <c r="P84" s="7"/>
      <c r="Q84" s="7"/>
      <c r="R84" s="7"/>
      <c r="S84" s="7"/>
    </row>
    <row r="85" spans="2:19" x14ac:dyDescent="0.3">
      <c r="B85" s="7"/>
      <c r="C85" s="7"/>
      <c r="D85" s="7"/>
      <c r="E85" s="8"/>
      <c r="F85" s="7"/>
      <c r="G85" s="8"/>
      <c r="H85" s="9" t="str">
        <f t="shared" ca="1" si="0"/>
        <v/>
      </c>
      <c r="I85" s="10" t="str">
        <f ca="1">IF($H85="","",IF($H85&gt;=[1]Guide_Brands!$B$33,"Strong",IF($H85&gt;=[1]Guide_Brands!$B$34,"Medium","Early / short")))</f>
        <v/>
      </c>
      <c r="J85" s="11"/>
      <c r="K85" s="7"/>
      <c r="L85" s="7"/>
      <c r="M85" s="7"/>
      <c r="N85" s="7"/>
      <c r="O85" s="7"/>
      <c r="P85" s="7"/>
      <c r="Q85" s="7"/>
      <c r="R85" s="7"/>
      <c r="S85" s="7"/>
    </row>
    <row r="86" spans="2:19" x14ac:dyDescent="0.3">
      <c r="B86" s="7"/>
      <c r="C86" s="7"/>
      <c r="D86" s="7"/>
      <c r="E86" s="8"/>
      <c r="F86" s="7"/>
      <c r="G86" s="8"/>
      <c r="H86" s="9" t="str">
        <f t="shared" ca="1" si="0"/>
        <v/>
      </c>
      <c r="I86" s="10" t="str">
        <f ca="1">IF($H86="","",IF($H86&gt;=[1]Guide_Brands!$B$33,"Strong",IF($H86&gt;=[1]Guide_Brands!$B$34,"Medium","Early / short")))</f>
        <v/>
      </c>
      <c r="J86" s="11"/>
      <c r="K86" s="7"/>
      <c r="L86" s="7"/>
      <c r="M86" s="7"/>
      <c r="N86" s="7"/>
      <c r="O86" s="7"/>
      <c r="P86" s="7"/>
      <c r="Q86" s="7"/>
      <c r="R86" s="7"/>
      <c r="S86" s="7"/>
    </row>
    <row r="87" spans="2:19" x14ac:dyDescent="0.3">
      <c r="B87" s="7"/>
      <c r="C87" s="7"/>
      <c r="D87" s="7"/>
      <c r="E87" s="8"/>
      <c r="F87" s="7"/>
      <c r="G87" s="8"/>
      <c r="H87" s="9" t="str">
        <f t="shared" ca="1" si="0"/>
        <v/>
      </c>
      <c r="I87" s="10" t="str">
        <f ca="1">IF($H87="","",IF($H87&gt;=[1]Guide_Brands!$B$33,"Strong",IF($H87&gt;=[1]Guide_Brands!$B$34,"Medium","Early / short")))</f>
        <v/>
      </c>
      <c r="J87" s="11"/>
      <c r="K87" s="7"/>
      <c r="L87" s="7"/>
      <c r="M87" s="7"/>
      <c r="N87" s="7"/>
      <c r="O87" s="7"/>
      <c r="P87" s="7"/>
      <c r="Q87" s="7"/>
      <c r="R87" s="7"/>
      <c r="S87" s="7"/>
    </row>
    <row r="88" spans="2:19" x14ac:dyDescent="0.3">
      <c r="B88" s="7"/>
      <c r="C88" s="7"/>
      <c r="D88" s="7"/>
      <c r="E88" s="8"/>
      <c r="F88" s="7"/>
      <c r="G88" s="8"/>
      <c r="H88" s="9" t="str">
        <f t="shared" ca="1" si="0"/>
        <v/>
      </c>
      <c r="I88" s="10" t="str">
        <f ca="1">IF($H88="","",IF($H88&gt;=[1]Guide_Brands!$B$33,"Strong",IF($H88&gt;=[1]Guide_Brands!$B$34,"Medium","Early / short")))</f>
        <v/>
      </c>
      <c r="J88" s="11"/>
      <c r="K88" s="7"/>
      <c r="L88" s="7"/>
      <c r="M88" s="7"/>
      <c r="N88" s="7"/>
      <c r="O88" s="7"/>
      <c r="P88" s="7"/>
      <c r="Q88" s="7"/>
      <c r="R88" s="7"/>
      <c r="S88" s="7"/>
    </row>
    <row r="89" spans="2:19" x14ac:dyDescent="0.3">
      <c r="B89" s="7"/>
      <c r="C89" s="7"/>
      <c r="D89" s="7"/>
      <c r="E89" s="8"/>
      <c r="F89" s="7"/>
      <c r="G89" s="8"/>
      <c r="H89" s="9" t="str">
        <f t="shared" ca="1" si="0"/>
        <v/>
      </c>
      <c r="I89" s="10" t="str">
        <f ca="1">IF($H89="","",IF($H89&gt;=[1]Guide_Brands!$B$33,"Strong",IF($H89&gt;=[1]Guide_Brands!$B$34,"Medium","Early / short")))</f>
        <v/>
      </c>
      <c r="J89" s="11"/>
      <c r="K89" s="7"/>
      <c r="L89" s="7"/>
      <c r="M89" s="7"/>
      <c r="N89" s="7"/>
      <c r="O89" s="7"/>
      <c r="P89" s="7"/>
      <c r="Q89" s="7"/>
      <c r="R89" s="7"/>
      <c r="S89" s="7"/>
    </row>
    <row r="90" spans="2:19" x14ac:dyDescent="0.3">
      <c r="B90" s="7"/>
      <c r="C90" s="7"/>
      <c r="D90" s="7"/>
      <c r="E90" s="8"/>
      <c r="F90" s="7"/>
      <c r="G90" s="8"/>
      <c r="H90" s="9" t="str">
        <f t="shared" ca="1" si="0"/>
        <v/>
      </c>
      <c r="I90" s="10" t="str">
        <f ca="1">IF($H90="","",IF($H90&gt;=[1]Guide_Brands!$B$33,"Strong",IF($H90&gt;=[1]Guide_Brands!$B$34,"Medium","Early / short")))</f>
        <v/>
      </c>
      <c r="J90" s="11"/>
      <c r="K90" s="7"/>
      <c r="L90" s="7"/>
      <c r="M90" s="7"/>
      <c r="N90" s="7"/>
      <c r="O90" s="7"/>
      <c r="P90" s="7"/>
      <c r="Q90" s="7"/>
      <c r="R90" s="7"/>
      <c r="S90" s="7"/>
    </row>
    <row r="91" spans="2:19" x14ac:dyDescent="0.3">
      <c r="B91" s="7"/>
      <c r="C91" s="7"/>
      <c r="D91" s="7"/>
      <c r="E91" s="8"/>
      <c r="F91" s="7"/>
      <c r="G91" s="8"/>
      <c r="H91" s="9" t="str">
        <f t="shared" ca="1" si="0"/>
        <v/>
      </c>
      <c r="I91" s="10" t="str">
        <f ca="1">IF($H91="","",IF($H91&gt;=[1]Guide_Brands!$B$33,"Strong",IF($H91&gt;=[1]Guide_Brands!$B$34,"Medium","Early / short")))</f>
        <v/>
      </c>
      <c r="J91" s="11"/>
      <c r="K91" s="7"/>
      <c r="L91" s="7"/>
      <c r="M91" s="7"/>
      <c r="N91" s="7"/>
      <c r="O91" s="7"/>
      <c r="P91" s="7"/>
      <c r="Q91" s="7"/>
      <c r="R91" s="7"/>
      <c r="S91" s="7"/>
    </row>
    <row r="92" spans="2:19" x14ac:dyDescent="0.3">
      <c r="B92" s="7"/>
      <c r="C92" s="7"/>
      <c r="D92" s="7"/>
      <c r="E92" s="8"/>
      <c r="F92" s="7"/>
      <c r="G92" s="8"/>
      <c r="H92" s="9" t="str">
        <f t="shared" ca="1" si="0"/>
        <v/>
      </c>
      <c r="I92" s="10" t="str">
        <f ca="1">IF($H92="","",IF($H92&gt;=[1]Guide_Brands!$B$33,"Strong",IF($H92&gt;=[1]Guide_Brands!$B$34,"Medium","Early / short")))</f>
        <v/>
      </c>
      <c r="J92" s="11"/>
      <c r="K92" s="7"/>
      <c r="L92" s="7"/>
      <c r="M92" s="7"/>
      <c r="N92" s="7"/>
      <c r="O92" s="7"/>
      <c r="P92" s="7"/>
      <c r="Q92" s="7"/>
      <c r="R92" s="7"/>
      <c r="S92" s="7"/>
    </row>
    <row r="93" spans="2:19" x14ac:dyDescent="0.3">
      <c r="B93" s="7"/>
      <c r="C93" s="7"/>
      <c r="D93" s="7"/>
      <c r="E93" s="8"/>
      <c r="F93" s="7"/>
      <c r="G93" s="8"/>
      <c r="H93" s="9" t="str">
        <f t="shared" ca="1" si="0"/>
        <v/>
      </c>
      <c r="I93" s="10" t="str">
        <f ca="1">IF($H93="","",IF($H93&gt;=[1]Guide_Brands!$B$33,"Strong",IF($H93&gt;=[1]Guide_Brands!$B$34,"Medium","Early / short")))</f>
        <v/>
      </c>
      <c r="J93" s="11"/>
      <c r="K93" s="7"/>
      <c r="L93" s="7"/>
      <c r="M93" s="7"/>
      <c r="N93" s="7"/>
      <c r="O93" s="7"/>
      <c r="P93" s="7"/>
      <c r="Q93" s="7"/>
      <c r="R93" s="7"/>
      <c r="S93" s="7"/>
    </row>
    <row r="94" spans="2:19" x14ac:dyDescent="0.3">
      <c r="B94" s="7"/>
      <c r="C94" s="7"/>
      <c r="D94" s="7"/>
      <c r="E94" s="8"/>
      <c r="F94" s="7"/>
      <c r="G94" s="8"/>
      <c r="H94" s="9" t="str">
        <f t="shared" ca="1" si="0"/>
        <v/>
      </c>
      <c r="I94" s="10" t="str">
        <f ca="1">IF($H94="","",IF($H94&gt;=[1]Guide_Brands!$B$33,"Strong",IF($H94&gt;=[1]Guide_Brands!$B$34,"Medium","Early / short")))</f>
        <v/>
      </c>
      <c r="J94" s="11"/>
      <c r="K94" s="7"/>
      <c r="L94" s="7"/>
      <c r="M94" s="7"/>
      <c r="N94" s="7"/>
      <c r="O94" s="7"/>
      <c r="P94" s="7"/>
      <c r="Q94" s="7"/>
      <c r="R94" s="7"/>
      <c r="S94" s="7"/>
    </row>
    <row r="95" spans="2:19" x14ac:dyDescent="0.3">
      <c r="B95" s="7"/>
      <c r="C95" s="7"/>
      <c r="D95" s="7"/>
      <c r="E95" s="8"/>
      <c r="F95" s="7"/>
      <c r="G95" s="8"/>
      <c r="H95" s="9" t="str">
        <f t="shared" ca="1" si="0"/>
        <v/>
      </c>
      <c r="I95" s="10" t="str">
        <f ca="1">IF($H95="","",IF($H95&gt;=[1]Guide_Brands!$B$33,"Strong",IF($H95&gt;=[1]Guide_Brands!$B$34,"Medium","Early / short")))</f>
        <v/>
      </c>
      <c r="J95" s="11"/>
      <c r="K95" s="7"/>
      <c r="L95" s="7"/>
      <c r="M95" s="7"/>
      <c r="N95" s="7"/>
      <c r="O95" s="7"/>
      <c r="P95" s="7"/>
      <c r="Q95" s="7"/>
      <c r="R95" s="7"/>
      <c r="S95" s="7"/>
    </row>
    <row r="96" spans="2:19" x14ac:dyDescent="0.3">
      <c r="B96" s="7"/>
      <c r="C96" s="7"/>
      <c r="D96" s="7"/>
      <c r="E96" s="8"/>
      <c r="F96" s="7"/>
      <c r="G96" s="8"/>
      <c r="H96" s="9" t="str">
        <f t="shared" ca="1" si="0"/>
        <v/>
      </c>
      <c r="I96" s="10" t="str">
        <f ca="1">IF($H96="","",IF($H96&gt;=[1]Guide_Brands!$B$33,"Strong",IF($H96&gt;=[1]Guide_Brands!$B$34,"Medium","Early / short")))</f>
        <v/>
      </c>
      <c r="J96" s="11"/>
      <c r="K96" s="7"/>
      <c r="L96" s="7"/>
      <c r="M96" s="7"/>
      <c r="N96" s="7"/>
      <c r="O96" s="7"/>
      <c r="P96" s="7"/>
      <c r="Q96" s="7"/>
      <c r="R96" s="7"/>
      <c r="S96" s="7"/>
    </row>
    <row r="97" spans="2:19" x14ac:dyDescent="0.3">
      <c r="B97" s="7"/>
      <c r="C97" s="7"/>
      <c r="D97" s="7"/>
      <c r="E97" s="8"/>
      <c r="F97" s="7"/>
      <c r="G97" s="8"/>
      <c r="H97" s="9" t="str">
        <f t="shared" ca="1" si="0"/>
        <v/>
      </c>
      <c r="I97" s="10" t="str">
        <f ca="1">IF($H97="","",IF($H97&gt;=[1]Guide_Brands!$B$33,"Strong",IF($H97&gt;=[1]Guide_Brands!$B$34,"Medium","Early / short")))</f>
        <v/>
      </c>
      <c r="J97" s="11"/>
      <c r="K97" s="7"/>
      <c r="L97" s="7"/>
      <c r="M97" s="7"/>
      <c r="N97" s="7"/>
      <c r="O97" s="7"/>
      <c r="P97" s="7"/>
      <c r="Q97" s="7"/>
      <c r="R97" s="7"/>
      <c r="S97" s="7"/>
    </row>
    <row r="98" spans="2:19" x14ac:dyDescent="0.3">
      <c r="B98" s="7"/>
      <c r="C98" s="7"/>
      <c r="D98" s="7"/>
      <c r="E98" s="8"/>
      <c r="F98" s="7"/>
      <c r="G98" s="8"/>
      <c r="H98" s="9" t="str">
        <f t="shared" ca="1" si="0"/>
        <v/>
      </c>
      <c r="I98" s="10" t="str">
        <f ca="1">IF($H98="","",IF($H98&gt;=[1]Guide_Brands!$B$33,"Strong",IF($H98&gt;=[1]Guide_Brands!$B$34,"Medium","Early / short")))</f>
        <v/>
      </c>
      <c r="J98" s="11"/>
      <c r="K98" s="7"/>
      <c r="L98" s="7"/>
      <c r="M98" s="7"/>
      <c r="N98" s="7"/>
      <c r="O98" s="7"/>
      <c r="P98" s="7"/>
      <c r="Q98" s="7"/>
      <c r="R98" s="7"/>
      <c r="S98" s="7"/>
    </row>
    <row r="99" spans="2:19" x14ac:dyDescent="0.3">
      <c r="B99" s="7"/>
      <c r="C99" s="7"/>
      <c r="D99" s="7"/>
      <c r="E99" s="8"/>
      <c r="F99" s="7"/>
      <c r="G99" s="8"/>
      <c r="H99" s="9" t="str">
        <f t="shared" ca="1" si="0"/>
        <v/>
      </c>
      <c r="I99" s="10" t="str">
        <f ca="1">IF($H99="","",IF($H99&gt;=[1]Guide_Brands!$B$33,"Strong",IF($H99&gt;=[1]Guide_Brands!$B$34,"Medium","Early / short")))</f>
        <v/>
      </c>
      <c r="J99" s="11"/>
      <c r="K99" s="7"/>
      <c r="L99" s="7"/>
      <c r="M99" s="7"/>
      <c r="N99" s="7"/>
      <c r="O99" s="7"/>
      <c r="P99" s="7"/>
      <c r="Q99" s="7"/>
      <c r="R99" s="7"/>
      <c r="S99" s="7"/>
    </row>
    <row r="100" spans="2:19" x14ac:dyDescent="0.3">
      <c r="B100" s="7"/>
      <c r="C100" s="7"/>
      <c r="D100" s="7"/>
      <c r="E100" s="8"/>
      <c r="F100" s="7"/>
      <c r="G100" s="8"/>
      <c r="H100" s="9" t="str">
        <f t="shared" ca="1" si="0"/>
        <v/>
      </c>
      <c r="I100" s="10" t="str">
        <f ca="1">IF($H100="","",IF($H100&gt;=[1]Guide_Brands!$B$33,"Strong",IF($H100&gt;=[1]Guide_Brands!$B$34,"Medium","Early / short")))</f>
        <v/>
      </c>
      <c r="J100" s="11"/>
      <c r="K100" s="7"/>
      <c r="L100" s="7"/>
      <c r="M100" s="7"/>
      <c r="N100" s="7"/>
      <c r="O100" s="7"/>
      <c r="P100" s="7"/>
      <c r="Q100" s="7"/>
      <c r="R100" s="7"/>
      <c r="S100" s="7"/>
    </row>
    <row r="101" spans="2:19" x14ac:dyDescent="0.3">
      <c r="B101" s="7"/>
      <c r="C101" s="7"/>
      <c r="D101" s="7"/>
      <c r="E101" s="8"/>
      <c r="F101" s="7"/>
      <c r="G101" s="8"/>
      <c r="H101" s="9" t="str">
        <f t="shared" ca="1" si="0"/>
        <v/>
      </c>
      <c r="I101" s="10" t="str">
        <f ca="1">IF($H101="","",IF($H101&gt;=[1]Guide_Brands!$B$33,"Strong",IF($H101&gt;=[1]Guide_Brands!$B$34,"Medium","Early / short")))</f>
        <v/>
      </c>
      <c r="J101" s="11"/>
      <c r="K101" s="7"/>
      <c r="L101" s="7"/>
      <c r="M101" s="7"/>
      <c r="N101" s="7"/>
      <c r="O101" s="7"/>
      <c r="P101" s="7"/>
      <c r="Q101" s="7"/>
      <c r="R101" s="7"/>
      <c r="S101" s="7"/>
    </row>
    <row r="102" spans="2:19" x14ac:dyDescent="0.3">
      <c r="B102" s="7"/>
      <c r="C102" s="7"/>
      <c r="D102" s="7"/>
      <c r="E102" s="8"/>
      <c r="F102" s="7"/>
      <c r="G102" s="8"/>
      <c r="H102" s="9" t="str">
        <f t="shared" ca="1" si="0"/>
        <v/>
      </c>
      <c r="I102" s="10" t="str">
        <f ca="1">IF($H102="","",IF($H102&gt;=[1]Guide_Brands!$B$33,"Strong",IF($H102&gt;=[1]Guide_Brands!$B$34,"Medium","Early / short")))</f>
        <v/>
      </c>
      <c r="J102" s="11"/>
      <c r="K102" s="7"/>
      <c r="L102" s="7"/>
      <c r="M102" s="7"/>
      <c r="N102" s="7"/>
      <c r="O102" s="7"/>
      <c r="P102" s="7"/>
      <c r="Q102" s="7"/>
      <c r="R102" s="7"/>
      <c r="S102" s="7"/>
    </row>
    <row r="103" spans="2:19" x14ac:dyDescent="0.3">
      <c r="B103" s="7"/>
      <c r="C103" s="7"/>
      <c r="D103" s="7"/>
      <c r="E103" s="8"/>
      <c r="F103" s="7"/>
      <c r="G103" s="8"/>
      <c r="H103" s="9" t="str">
        <f t="shared" ca="1" si="0"/>
        <v/>
      </c>
      <c r="I103" s="10" t="str">
        <f ca="1">IF($H103="","",IF($H103&gt;=[1]Guide_Brands!$B$33,"Strong",IF($H103&gt;=[1]Guide_Brands!$B$34,"Medium","Early / short")))</f>
        <v/>
      </c>
      <c r="J103" s="11"/>
      <c r="K103" s="7"/>
      <c r="L103" s="7"/>
      <c r="M103" s="7"/>
      <c r="N103" s="7"/>
      <c r="O103" s="7"/>
      <c r="P103" s="7"/>
      <c r="Q103" s="7"/>
      <c r="R103" s="7"/>
      <c r="S103" s="7"/>
    </row>
    <row r="104" spans="2:19" x14ac:dyDescent="0.3">
      <c r="B104" s="7"/>
      <c r="C104" s="7"/>
      <c r="D104" s="7"/>
      <c r="E104" s="8"/>
      <c r="F104" s="7"/>
      <c r="G104" s="8"/>
      <c r="H104" s="9" t="str">
        <f t="shared" ca="1" si="0"/>
        <v/>
      </c>
      <c r="I104" s="10" t="str">
        <f ca="1">IF($H104="","",IF($H104&gt;=[1]Guide_Brands!$B$33,"Strong",IF($H104&gt;=[1]Guide_Brands!$B$34,"Medium","Early / short")))</f>
        <v/>
      </c>
      <c r="J104" s="11"/>
      <c r="K104" s="7"/>
      <c r="L104" s="7"/>
      <c r="M104" s="7"/>
      <c r="N104" s="7"/>
      <c r="O104" s="7"/>
      <c r="P104" s="7"/>
      <c r="Q104" s="7"/>
      <c r="R104" s="7"/>
      <c r="S104" s="7"/>
    </row>
    <row r="105" spans="2:19" x14ac:dyDescent="0.3">
      <c r="B105" s="7"/>
      <c r="C105" s="7"/>
      <c r="D105" s="7"/>
      <c r="E105" s="8"/>
      <c r="F105" s="7"/>
      <c r="G105" s="8"/>
      <c r="H105" s="9" t="str">
        <f t="shared" ca="1" si="0"/>
        <v/>
      </c>
      <c r="I105" s="10" t="str">
        <f ca="1">IF($H105="","",IF($H105&gt;=[1]Guide_Brands!$B$33,"Strong",IF($H105&gt;=[1]Guide_Brands!$B$34,"Medium","Early / short")))</f>
        <v/>
      </c>
      <c r="J105" s="11"/>
      <c r="K105" s="7"/>
      <c r="L105" s="7"/>
      <c r="M105" s="7"/>
      <c r="N105" s="7"/>
      <c r="O105" s="7"/>
      <c r="P105" s="7"/>
      <c r="Q105" s="7"/>
      <c r="R105" s="7"/>
      <c r="S105" s="7"/>
    </row>
    <row r="106" spans="2:19" x14ac:dyDescent="0.3">
      <c r="B106" s="7"/>
      <c r="C106" s="7"/>
      <c r="D106" s="7"/>
      <c r="E106" s="8"/>
      <c r="F106" s="7"/>
      <c r="G106" s="8"/>
      <c r="H106" s="9" t="str">
        <f t="shared" ca="1" si="0"/>
        <v/>
      </c>
      <c r="I106" s="10" t="str">
        <f ca="1">IF($H106="","",IF($H106&gt;=[1]Guide_Brands!$B$33,"Strong",IF($H106&gt;=[1]Guide_Brands!$B$34,"Medium","Early / short")))</f>
        <v/>
      </c>
      <c r="J106" s="11"/>
      <c r="K106" s="7"/>
      <c r="L106" s="7"/>
      <c r="M106" s="7"/>
      <c r="N106" s="7"/>
      <c r="O106" s="7"/>
      <c r="P106" s="7"/>
      <c r="Q106" s="7"/>
      <c r="R106" s="7"/>
      <c r="S106" s="7"/>
    </row>
    <row r="107" spans="2:19" x14ac:dyDescent="0.3">
      <c r="B107" s="7"/>
      <c r="C107" s="7"/>
      <c r="D107" s="7"/>
      <c r="E107" s="8"/>
      <c r="F107" s="7"/>
      <c r="G107" s="8"/>
      <c r="H107" s="9" t="str">
        <f t="shared" ca="1" si="0"/>
        <v/>
      </c>
      <c r="I107" s="10" t="str">
        <f ca="1">IF($H107="","",IF($H107&gt;=[1]Guide_Brands!$B$33,"Strong",IF($H107&gt;=[1]Guide_Brands!$B$34,"Medium","Early / short")))</f>
        <v/>
      </c>
      <c r="J107" s="11"/>
      <c r="K107" s="7"/>
      <c r="L107" s="7"/>
      <c r="M107" s="7"/>
      <c r="N107" s="7"/>
      <c r="O107" s="7"/>
      <c r="P107" s="7"/>
      <c r="Q107" s="7"/>
      <c r="R107" s="7"/>
      <c r="S107" s="7"/>
    </row>
    <row r="108" spans="2:19" x14ac:dyDescent="0.3">
      <c r="B108" s="7"/>
      <c r="C108" s="7"/>
      <c r="D108" s="7"/>
      <c r="E108" s="8"/>
      <c r="F108" s="7"/>
      <c r="G108" s="8"/>
      <c r="H108" s="9" t="str">
        <f t="shared" ca="1" si="0"/>
        <v/>
      </c>
      <c r="I108" s="10" t="str">
        <f ca="1">IF($H108="","",IF($H108&gt;=[1]Guide_Brands!$B$33,"Strong",IF($H108&gt;=[1]Guide_Brands!$B$34,"Medium","Early / short")))</f>
        <v/>
      </c>
      <c r="J108" s="11"/>
      <c r="K108" s="7"/>
      <c r="L108" s="7"/>
      <c r="M108" s="7"/>
      <c r="N108" s="7"/>
      <c r="O108" s="7"/>
      <c r="P108" s="7"/>
      <c r="Q108" s="7"/>
      <c r="R108" s="7"/>
      <c r="S108" s="7"/>
    </row>
    <row r="109" spans="2:19" x14ac:dyDescent="0.3">
      <c r="B109" s="7"/>
      <c r="C109" s="7"/>
      <c r="D109" s="7"/>
      <c r="E109" s="8"/>
      <c r="F109" s="7"/>
      <c r="G109" s="8"/>
      <c r="H109" s="9" t="str">
        <f t="shared" ca="1" si="0"/>
        <v/>
      </c>
      <c r="I109" s="10" t="str">
        <f ca="1">IF($H109="","",IF($H109&gt;=[1]Guide_Brands!$B$33,"Strong",IF($H109&gt;=[1]Guide_Brands!$B$34,"Medium","Early / short")))</f>
        <v/>
      </c>
      <c r="J109" s="11"/>
      <c r="K109" s="7"/>
      <c r="L109" s="7"/>
      <c r="M109" s="7"/>
      <c r="N109" s="7"/>
      <c r="O109" s="7"/>
      <c r="P109" s="7"/>
      <c r="Q109" s="7"/>
      <c r="R109" s="7"/>
      <c r="S109" s="7"/>
    </row>
    <row r="110" spans="2:19" x14ac:dyDescent="0.3">
      <c r="B110" s="7"/>
      <c r="C110" s="7"/>
      <c r="D110" s="7"/>
      <c r="E110" s="8"/>
      <c r="F110" s="7"/>
      <c r="G110" s="8"/>
      <c r="H110" s="9" t="str">
        <f t="shared" ca="1" si="0"/>
        <v/>
      </c>
      <c r="I110" s="10" t="str">
        <f ca="1">IF($H110="","",IF($H110&gt;=[1]Guide_Brands!$B$33,"Strong",IF($H110&gt;=[1]Guide_Brands!$B$34,"Medium","Early / short")))</f>
        <v/>
      </c>
      <c r="J110" s="11"/>
      <c r="K110" s="7"/>
      <c r="L110" s="7"/>
      <c r="M110" s="7"/>
      <c r="N110" s="7"/>
      <c r="O110" s="7"/>
      <c r="P110" s="7"/>
      <c r="Q110" s="7"/>
      <c r="R110" s="7"/>
      <c r="S110" s="7"/>
    </row>
    <row r="111" spans="2:19" x14ac:dyDescent="0.3">
      <c r="B111" s="7"/>
      <c r="C111" s="7"/>
      <c r="D111" s="7"/>
      <c r="E111" s="8"/>
      <c r="F111" s="7"/>
      <c r="G111" s="8"/>
      <c r="H111" s="9" t="str">
        <f t="shared" ca="1" si="0"/>
        <v/>
      </c>
      <c r="I111" s="10" t="str">
        <f ca="1">IF($H111="","",IF($H111&gt;=[1]Guide_Brands!$B$33,"Strong",IF($H111&gt;=[1]Guide_Brands!$B$34,"Medium","Early / short")))</f>
        <v/>
      </c>
      <c r="J111" s="11"/>
      <c r="K111" s="7"/>
      <c r="L111" s="7"/>
      <c r="M111" s="7"/>
      <c r="N111" s="7"/>
      <c r="O111" s="7"/>
      <c r="P111" s="7"/>
      <c r="Q111" s="7"/>
      <c r="R111" s="7"/>
      <c r="S111" s="7"/>
    </row>
    <row r="112" spans="2:19" x14ac:dyDescent="0.3">
      <c r="B112" s="7"/>
      <c r="C112" s="7"/>
      <c r="D112" s="7"/>
      <c r="E112" s="8"/>
      <c r="F112" s="7"/>
      <c r="G112" s="8"/>
      <c r="H112" s="9" t="str">
        <f t="shared" ca="1" si="0"/>
        <v/>
      </c>
      <c r="I112" s="10" t="str">
        <f ca="1">IF($H112="","",IF($H112&gt;=[1]Guide_Brands!$B$33,"Strong",IF($H112&gt;=[1]Guide_Brands!$B$34,"Medium","Early / short")))</f>
        <v/>
      </c>
      <c r="J112" s="11"/>
      <c r="K112" s="7"/>
      <c r="L112" s="7"/>
      <c r="M112" s="7"/>
      <c r="N112" s="7"/>
      <c r="O112" s="7"/>
      <c r="P112" s="7"/>
      <c r="Q112" s="7"/>
      <c r="R112" s="7"/>
      <c r="S112" s="7"/>
    </row>
    <row r="113" spans="2:19" x14ac:dyDescent="0.3">
      <c r="B113" s="7"/>
      <c r="C113" s="7"/>
      <c r="D113" s="7"/>
      <c r="E113" s="8"/>
      <c r="F113" s="7"/>
      <c r="G113" s="8"/>
      <c r="H113" s="9" t="str">
        <f t="shared" ca="1" si="0"/>
        <v/>
      </c>
      <c r="I113" s="10" t="str">
        <f ca="1">IF($H113="","",IF($H113&gt;=[1]Guide_Brands!$B$33,"Strong",IF($H113&gt;=[1]Guide_Brands!$B$34,"Medium","Early / short")))</f>
        <v/>
      </c>
      <c r="J113" s="11"/>
      <c r="K113" s="7"/>
      <c r="L113" s="7"/>
      <c r="M113" s="7"/>
      <c r="N113" s="7"/>
      <c r="O113" s="7"/>
      <c r="P113" s="7"/>
      <c r="Q113" s="7"/>
      <c r="R113" s="7"/>
      <c r="S113" s="7"/>
    </row>
    <row r="114" spans="2:19" x14ac:dyDescent="0.3">
      <c r="B114" s="7"/>
      <c r="C114" s="7"/>
      <c r="D114" s="7"/>
      <c r="E114" s="8"/>
      <c r="F114" s="7"/>
      <c r="G114" s="8"/>
      <c r="H114" s="9" t="str">
        <f t="shared" ca="1" si="0"/>
        <v/>
      </c>
      <c r="I114" s="10" t="str">
        <f ca="1">IF($H114="","",IF($H114&gt;=[1]Guide_Brands!$B$33,"Strong",IF($H114&gt;=[1]Guide_Brands!$B$34,"Medium","Early / short")))</f>
        <v/>
      </c>
      <c r="J114" s="11"/>
      <c r="K114" s="7"/>
      <c r="L114" s="7"/>
      <c r="M114" s="7"/>
      <c r="N114" s="7"/>
      <c r="O114" s="7"/>
      <c r="P114" s="7"/>
      <c r="Q114" s="7"/>
      <c r="R114" s="7"/>
      <c r="S114" s="7"/>
    </row>
    <row r="115" spans="2:19" x14ac:dyDescent="0.3">
      <c r="B115" s="7"/>
      <c r="C115" s="7"/>
      <c r="D115" s="7"/>
      <c r="E115" s="8"/>
      <c r="F115" s="7"/>
      <c r="G115" s="8"/>
      <c r="H115" s="9" t="str">
        <f t="shared" ca="1" si="0"/>
        <v/>
      </c>
      <c r="I115" s="10" t="str">
        <f ca="1">IF($H115="","",IF($H115&gt;=[1]Guide_Brands!$B$33,"Strong",IF($H115&gt;=[1]Guide_Brands!$B$34,"Medium","Early / short")))</f>
        <v/>
      </c>
      <c r="J115" s="11"/>
      <c r="K115" s="7"/>
      <c r="L115" s="7"/>
      <c r="M115" s="7"/>
      <c r="N115" s="7"/>
      <c r="O115" s="7"/>
      <c r="P115" s="7"/>
      <c r="Q115" s="7"/>
      <c r="R115" s="7"/>
      <c r="S115" s="7"/>
    </row>
    <row r="116" spans="2:19" x14ac:dyDescent="0.3">
      <c r="B116" s="7"/>
      <c r="C116" s="7"/>
      <c r="D116" s="7"/>
      <c r="E116" s="8"/>
      <c r="F116" s="7"/>
      <c r="G116" s="8"/>
      <c r="H116" s="9" t="str">
        <f t="shared" ca="1" si="0"/>
        <v/>
      </c>
      <c r="I116" s="10" t="str">
        <f ca="1">IF($H116="","",IF($H116&gt;=[1]Guide_Brands!$B$33,"Strong",IF($H116&gt;=[1]Guide_Brands!$B$34,"Medium","Early / short")))</f>
        <v/>
      </c>
      <c r="J116" s="11"/>
      <c r="K116" s="7"/>
      <c r="L116" s="7"/>
      <c r="M116" s="7"/>
      <c r="N116" s="7"/>
      <c r="O116" s="7"/>
      <c r="P116" s="7"/>
      <c r="Q116" s="7"/>
      <c r="R116" s="7"/>
      <c r="S116" s="7"/>
    </row>
    <row r="117" spans="2:19" x14ac:dyDescent="0.3">
      <c r="B117" s="7"/>
      <c r="C117" s="7"/>
      <c r="D117" s="7"/>
      <c r="E117" s="8"/>
      <c r="F117" s="7"/>
      <c r="G117" s="8"/>
      <c r="H117" s="9" t="str">
        <f t="shared" ca="1" si="0"/>
        <v/>
      </c>
      <c r="I117" s="10" t="str">
        <f ca="1">IF($H117="","",IF($H117&gt;=[1]Guide_Brands!$B$33,"Strong",IF($H117&gt;=[1]Guide_Brands!$B$34,"Medium","Early / short")))</f>
        <v/>
      </c>
      <c r="J117" s="11"/>
      <c r="K117" s="7"/>
      <c r="L117" s="7"/>
      <c r="M117" s="7"/>
      <c r="N117" s="7"/>
      <c r="O117" s="7"/>
      <c r="P117" s="7"/>
      <c r="Q117" s="7"/>
      <c r="R117" s="7"/>
      <c r="S117" s="7"/>
    </row>
    <row r="118" spans="2:19" x14ac:dyDescent="0.3">
      <c r="B118" s="7"/>
      <c r="C118" s="7"/>
      <c r="D118" s="7"/>
      <c r="E118" s="8"/>
      <c r="F118" s="7"/>
      <c r="G118" s="8"/>
      <c r="H118" s="9" t="str">
        <f t="shared" ca="1" si="0"/>
        <v/>
      </c>
      <c r="I118" s="10" t="str">
        <f ca="1">IF($H118="","",IF($H118&gt;=[1]Guide_Brands!$B$33,"Strong",IF($H118&gt;=[1]Guide_Brands!$B$34,"Medium","Early / short")))</f>
        <v/>
      </c>
      <c r="J118" s="11"/>
      <c r="K118" s="7"/>
      <c r="L118" s="7"/>
      <c r="M118" s="7"/>
      <c r="N118" s="7"/>
      <c r="O118" s="7"/>
      <c r="P118" s="7"/>
      <c r="Q118" s="7"/>
      <c r="R118" s="7"/>
      <c r="S118" s="7"/>
    </row>
    <row r="119" spans="2:19" x14ac:dyDescent="0.3">
      <c r="B119" s="7"/>
      <c r="C119" s="7"/>
      <c r="D119" s="7"/>
      <c r="E119" s="8"/>
      <c r="F119" s="7"/>
      <c r="G119" s="8"/>
      <c r="H119" s="9" t="str">
        <f t="shared" ca="1" si="0"/>
        <v/>
      </c>
      <c r="I119" s="10" t="str">
        <f ca="1">IF($H119="","",IF($H119&gt;=[1]Guide_Brands!$B$33,"Strong",IF($H119&gt;=[1]Guide_Brands!$B$34,"Medium","Early / short")))</f>
        <v/>
      </c>
      <c r="J119" s="11"/>
      <c r="K119" s="7"/>
      <c r="L119" s="7"/>
      <c r="M119" s="7"/>
      <c r="N119" s="7"/>
      <c r="O119" s="7"/>
      <c r="P119" s="7"/>
      <c r="Q119" s="7"/>
      <c r="R119" s="7"/>
      <c r="S119" s="7"/>
    </row>
    <row r="120" spans="2:19" x14ac:dyDescent="0.3">
      <c r="B120" s="7"/>
      <c r="C120" s="7"/>
      <c r="D120" s="7"/>
      <c r="E120" s="8"/>
      <c r="F120" s="7"/>
      <c r="G120" s="8"/>
      <c r="H120" s="9" t="str">
        <f t="shared" ca="1" si="0"/>
        <v/>
      </c>
      <c r="I120" s="10" t="str">
        <f ca="1">IF($H120="","",IF($H120&gt;=[1]Guide_Brands!$B$33,"Strong",IF($H120&gt;=[1]Guide_Brands!$B$34,"Medium","Early / short")))</f>
        <v/>
      </c>
      <c r="J120" s="11"/>
      <c r="K120" s="7"/>
      <c r="L120" s="7"/>
      <c r="M120" s="7"/>
      <c r="N120" s="7"/>
      <c r="O120" s="7"/>
      <c r="P120" s="7"/>
      <c r="Q120" s="7"/>
      <c r="R120" s="7"/>
      <c r="S120" s="7"/>
    </row>
    <row r="121" spans="2:19" x14ac:dyDescent="0.3">
      <c r="B121" s="7"/>
      <c r="C121" s="7"/>
      <c r="D121" s="7"/>
      <c r="E121" s="8"/>
      <c r="F121" s="7"/>
      <c r="G121" s="8"/>
      <c r="H121" s="9" t="str">
        <f t="shared" ca="1" si="0"/>
        <v/>
      </c>
      <c r="I121" s="10" t="str">
        <f ca="1">IF($H121="","",IF($H121&gt;=[1]Guide_Brands!$B$33,"Strong",IF($H121&gt;=[1]Guide_Brands!$B$34,"Medium","Early / short")))</f>
        <v/>
      </c>
      <c r="J121" s="11"/>
      <c r="K121" s="7"/>
      <c r="L121" s="7"/>
      <c r="M121" s="7"/>
      <c r="N121" s="7"/>
      <c r="O121" s="7"/>
      <c r="P121" s="7"/>
      <c r="Q121" s="7"/>
      <c r="R121" s="7"/>
      <c r="S121" s="7"/>
    </row>
    <row r="122" spans="2:19" x14ac:dyDescent="0.3">
      <c r="B122" s="7"/>
      <c r="C122" s="7"/>
      <c r="D122" s="7"/>
      <c r="E122" s="8"/>
      <c r="F122" s="7"/>
      <c r="G122" s="8"/>
      <c r="H122" s="9" t="str">
        <f t="shared" ca="1" si="0"/>
        <v/>
      </c>
      <c r="I122" s="10" t="str">
        <f ca="1">IF($H122="","",IF($H122&gt;=[1]Guide_Brands!$B$33,"Strong",IF($H122&gt;=[1]Guide_Brands!$B$34,"Medium","Early / short")))</f>
        <v/>
      </c>
      <c r="J122" s="11"/>
      <c r="K122" s="7"/>
      <c r="L122" s="7"/>
      <c r="M122" s="7"/>
      <c r="N122" s="7"/>
      <c r="O122" s="7"/>
      <c r="P122" s="7"/>
      <c r="Q122" s="7"/>
      <c r="R122" s="7"/>
      <c r="S122" s="7"/>
    </row>
    <row r="123" spans="2:19" x14ac:dyDescent="0.3">
      <c r="B123" s="7"/>
      <c r="C123" s="7"/>
      <c r="D123" s="7"/>
      <c r="E123" s="8"/>
      <c r="F123" s="7"/>
      <c r="G123" s="8"/>
      <c r="H123" s="9" t="str">
        <f t="shared" ca="1" si="0"/>
        <v/>
      </c>
      <c r="I123" s="10" t="str">
        <f ca="1">IF($H123="","",IF($H123&gt;=[1]Guide_Brands!$B$33,"Strong",IF($H123&gt;=[1]Guide_Brands!$B$34,"Medium","Early / short")))</f>
        <v/>
      </c>
      <c r="J123" s="11"/>
      <c r="K123" s="7"/>
      <c r="L123" s="7"/>
      <c r="M123" s="7"/>
      <c r="N123" s="7"/>
      <c r="O123" s="7"/>
      <c r="P123" s="7"/>
      <c r="Q123" s="7"/>
      <c r="R123" s="7"/>
      <c r="S123" s="7"/>
    </row>
    <row r="124" spans="2:19" x14ac:dyDescent="0.3">
      <c r="B124" s="7"/>
      <c r="C124" s="7"/>
      <c r="D124" s="7"/>
      <c r="E124" s="8"/>
      <c r="F124" s="7"/>
      <c r="G124" s="8"/>
      <c r="H124" s="9" t="str">
        <f t="shared" ca="1" si="0"/>
        <v/>
      </c>
      <c r="I124" s="10" t="str">
        <f ca="1">IF($H124="","",IF($H124&gt;=[1]Guide_Brands!$B$33,"Strong",IF($H124&gt;=[1]Guide_Brands!$B$34,"Medium","Early / short")))</f>
        <v/>
      </c>
      <c r="J124" s="11"/>
      <c r="K124" s="7"/>
      <c r="L124" s="7"/>
      <c r="M124" s="7"/>
      <c r="N124" s="7"/>
      <c r="O124" s="7"/>
      <c r="P124" s="7"/>
      <c r="Q124" s="7"/>
      <c r="R124" s="7"/>
      <c r="S124" s="7"/>
    </row>
    <row r="125" spans="2:19" x14ac:dyDescent="0.3">
      <c r="B125" s="7"/>
      <c r="C125" s="7"/>
      <c r="D125" s="7"/>
      <c r="E125" s="8"/>
      <c r="F125" s="7"/>
      <c r="G125" s="8"/>
      <c r="H125" s="9" t="str">
        <f t="shared" ca="1" si="0"/>
        <v/>
      </c>
      <c r="I125" s="10" t="str">
        <f ca="1">IF($H125="","",IF($H125&gt;=[1]Guide_Brands!$B$33,"Strong",IF($H125&gt;=[1]Guide_Brands!$B$34,"Medium","Early / short")))</f>
        <v/>
      </c>
      <c r="J125" s="11"/>
      <c r="K125" s="7"/>
      <c r="L125" s="7"/>
      <c r="M125" s="7"/>
      <c r="N125" s="7"/>
      <c r="O125" s="7"/>
      <c r="P125" s="7"/>
      <c r="Q125" s="7"/>
      <c r="R125" s="7"/>
      <c r="S125" s="7"/>
    </row>
    <row r="126" spans="2:19" x14ac:dyDescent="0.3">
      <c r="B126" s="7"/>
      <c r="C126" s="7"/>
      <c r="D126" s="7"/>
      <c r="E126" s="8"/>
      <c r="F126" s="7"/>
      <c r="G126" s="8"/>
      <c r="H126" s="9" t="str">
        <f t="shared" ca="1" si="0"/>
        <v/>
      </c>
      <c r="I126" s="10" t="str">
        <f ca="1">IF($H126="","",IF($H126&gt;=[1]Guide_Brands!$B$33,"Strong",IF($H126&gt;=[1]Guide_Brands!$B$34,"Medium","Early / short")))</f>
        <v/>
      </c>
      <c r="J126" s="11"/>
      <c r="K126" s="7"/>
      <c r="L126" s="7"/>
      <c r="M126" s="7"/>
      <c r="N126" s="7"/>
      <c r="O126" s="7"/>
      <c r="P126" s="7"/>
      <c r="Q126" s="7"/>
      <c r="R126" s="7"/>
      <c r="S126" s="7"/>
    </row>
    <row r="127" spans="2:19" x14ac:dyDescent="0.3">
      <c r="B127" s="7"/>
      <c r="C127" s="7"/>
      <c r="D127" s="7"/>
      <c r="E127" s="8"/>
      <c r="F127" s="7"/>
      <c r="G127" s="8"/>
      <c r="H127" s="9" t="str">
        <f t="shared" ca="1" si="0"/>
        <v/>
      </c>
      <c r="I127" s="10" t="str">
        <f ca="1">IF($H127="","",IF($H127&gt;=[1]Guide_Brands!$B$33,"Strong",IF($H127&gt;=[1]Guide_Brands!$B$34,"Medium","Early / short")))</f>
        <v/>
      </c>
      <c r="J127" s="11"/>
      <c r="K127" s="7"/>
      <c r="L127" s="7"/>
      <c r="M127" s="7"/>
      <c r="N127" s="7"/>
      <c r="O127" s="7"/>
      <c r="P127" s="7"/>
      <c r="Q127" s="7"/>
      <c r="R127" s="7"/>
      <c r="S127" s="7"/>
    </row>
    <row r="128" spans="2:19" x14ac:dyDescent="0.3">
      <c r="B128" s="7"/>
      <c r="C128" s="7"/>
      <c r="D128" s="7"/>
      <c r="E128" s="8"/>
      <c r="F128" s="7"/>
      <c r="G128" s="8"/>
      <c r="H128" s="9" t="str">
        <f t="shared" ca="1" si="0"/>
        <v/>
      </c>
      <c r="I128" s="10" t="str">
        <f ca="1">IF($H128="","",IF($H128&gt;=[1]Guide_Brands!$B$33,"Strong",IF($H128&gt;=[1]Guide_Brands!$B$34,"Medium","Early / short")))</f>
        <v/>
      </c>
      <c r="J128" s="11"/>
      <c r="K128" s="7"/>
      <c r="L128" s="7"/>
      <c r="M128" s="7"/>
      <c r="N128" s="7"/>
      <c r="O128" s="7"/>
      <c r="P128" s="7"/>
      <c r="Q128" s="7"/>
      <c r="R128" s="7"/>
      <c r="S128" s="7"/>
    </row>
    <row r="129" spans="2:19" x14ac:dyDescent="0.3">
      <c r="B129" s="7"/>
      <c r="C129" s="7"/>
      <c r="D129" s="7"/>
      <c r="E129" s="8"/>
      <c r="F129" s="7"/>
      <c r="G129" s="8"/>
      <c r="H129" s="9" t="str">
        <f t="shared" ca="1" si="0"/>
        <v/>
      </c>
      <c r="I129" s="10" t="str">
        <f ca="1">IF($H129="","",IF($H129&gt;=[1]Guide_Brands!$B$33,"Strong",IF($H129&gt;=[1]Guide_Brands!$B$34,"Medium","Early / short")))</f>
        <v/>
      </c>
      <c r="J129" s="11"/>
      <c r="K129" s="7"/>
      <c r="L129" s="7"/>
      <c r="M129" s="7"/>
      <c r="N129" s="7"/>
      <c r="O129" s="7"/>
      <c r="P129" s="7"/>
      <c r="Q129" s="7"/>
      <c r="R129" s="7"/>
      <c r="S129" s="7"/>
    </row>
    <row r="130" spans="2:19" x14ac:dyDescent="0.3">
      <c r="B130" s="7"/>
      <c r="C130" s="7"/>
      <c r="D130" s="7"/>
      <c r="E130" s="8"/>
      <c r="F130" s="7"/>
      <c r="G130" s="8"/>
      <c r="H130" s="9" t="str">
        <f t="shared" ref="H130:H193" ca="1" si="1">IF(OR($B130="",$E130=""),"",IF($F130="Active",TODAY()-$E130,IF($G130="","",$G130-$E130)))</f>
        <v/>
      </c>
      <c r="I130" s="10" t="str">
        <f ca="1">IF($H130="","",IF($H130&gt;=[1]Guide_Brands!$B$33,"Strong",IF($H130&gt;=[1]Guide_Brands!$B$34,"Medium","Early / short")))</f>
        <v/>
      </c>
      <c r="J130" s="11"/>
      <c r="K130" s="7"/>
      <c r="L130" s="7"/>
      <c r="M130" s="7"/>
      <c r="N130" s="7"/>
      <c r="O130" s="7"/>
      <c r="P130" s="7"/>
      <c r="Q130" s="7"/>
      <c r="R130" s="7"/>
      <c r="S130" s="7"/>
    </row>
    <row r="131" spans="2:19" x14ac:dyDescent="0.3">
      <c r="B131" s="7"/>
      <c r="C131" s="7"/>
      <c r="D131" s="7"/>
      <c r="E131" s="8"/>
      <c r="F131" s="7"/>
      <c r="G131" s="8"/>
      <c r="H131" s="9" t="str">
        <f t="shared" ca="1" si="1"/>
        <v/>
      </c>
      <c r="I131" s="10" t="str">
        <f ca="1">IF($H131="","",IF($H131&gt;=[1]Guide_Brands!$B$33,"Strong",IF($H131&gt;=[1]Guide_Brands!$B$34,"Medium","Early / short")))</f>
        <v/>
      </c>
      <c r="J131" s="11"/>
      <c r="K131" s="7"/>
      <c r="L131" s="7"/>
      <c r="M131" s="7"/>
      <c r="N131" s="7"/>
      <c r="O131" s="7"/>
      <c r="P131" s="7"/>
      <c r="Q131" s="7"/>
      <c r="R131" s="7"/>
      <c r="S131" s="7"/>
    </row>
    <row r="132" spans="2:19" x14ac:dyDescent="0.3">
      <c r="B132" s="7"/>
      <c r="C132" s="7"/>
      <c r="D132" s="7"/>
      <c r="E132" s="8"/>
      <c r="F132" s="7"/>
      <c r="G132" s="8"/>
      <c r="H132" s="9" t="str">
        <f t="shared" ca="1" si="1"/>
        <v/>
      </c>
      <c r="I132" s="10" t="str">
        <f ca="1">IF($H132="","",IF($H132&gt;=[1]Guide_Brands!$B$33,"Strong",IF($H132&gt;=[1]Guide_Brands!$B$34,"Medium","Early / short")))</f>
        <v/>
      </c>
      <c r="J132" s="11"/>
      <c r="K132" s="7"/>
      <c r="L132" s="7"/>
      <c r="M132" s="7"/>
      <c r="N132" s="7"/>
      <c r="O132" s="7"/>
      <c r="P132" s="7"/>
      <c r="Q132" s="7"/>
      <c r="R132" s="7"/>
      <c r="S132" s="7"/>
    </row>
    <row r="133" spans="2:19" x14ac:dyDescent="0.3">
      <c r="B133" s="7"/>
      <c r="C133" s="7"/>
      <c r="D133" s="7"/>
      <c r="E133" s="8"/>
      <c r="F133" s="7"/>
      <c r="G133" s="8"/>
      <c r="H133" s="9" t="str">
        <f t="shared" ca="1" si="1"/>
        <v/>
      </c>
      <c r="I133" s="10" t="str">
        <f ca="1">IF($H133="","",IF($H133&gt;=[1]Guide_Brands!$B$33,"Strong",IF($H133&gt;=[1]Guide_Brands!$B$34,"Medium","Early / short")))</f>
        <v/>
      </c>
      <c r="J133" s="11"/>
      <c r="K133" s="7"/>
      <c r="L133" s="7"/>
      <c r="M133" s="7"/>
      <c r="N133" s="7"/>
      <c r="O133" s="7"/>
      <c r="P133" s="7"/>
      <c r="Q133" s="7"/>
      <c r="R133" s="7"/>
      <c r="S133" s="7"/>
    </row>
    <row r="134" spans="2:19" x14ac:dyDescent="0.3">
      <c r="B134" s="7"/>
      <c r="C134" s="7"/>
      <c r="D134" s="7"/>
      <c r="E134" s="8"/>
      <c r="F134" s="7"/>
      <c r="G134" s="8"/>
      <c r="H134" s="9" t="str">
        <f t="shared" ca="1" si="1"/>
        <v/>
      </c>
      <c r="I134" s="10" t="str">
        <f ca="1">IF($H134="","",IF($H134&gt;=[1]Guide_Brands!$B$33,"Strong",IF($H134&gt;=[1]Guide_Brands!$B$34,"Medium","Early / short")))</f>
        <v/>
      </c>
      <c r="J134" s="11"/>
      <c r="K134" s="7"/>
      <c r="L134" s="7"/>
      <c r="M134" s="7"/>
      <c r="N134" s="7"/>
      <c r="O134" s="7"/>
      <c r="P134" s="7"/>
      <c r="Q134" s="7"/>
      <c r="R134" s="7"/>
      <c r="S134" s="7"/>
    </row>
    <row r="135" spans="2:19" x14ac:dyDescent="0.3">
      <c r="B135" s="7"/>
      <c r="C135" s="7"/>
      <c r="D135" s="7"/>
      <c r="E135" s="8"/>
      <c r="F135" s="7"/>
      <c r="G135" s="8"/>
      <c r="H135" s="9" t="str">
        <f t="shared" ca="1" si="1"/>
        <v/>
      </c>
      <c r="I135" s="10" t="str">
        <f ca="1">IF($H135="","",IF($H135&gt;=[1]Guide_Brands!$B$33,"Strong",IF($H135&gt;=[1]Guide_Brands!$B$34,"Medium","Early / short")))</f>
        <v/>
      </c>
      <c r="J135" s="11"/>
      <c r="K135" s="7"/>
      <c r="L135" s="7"/>
      <c r="M135" s="7"/>
      <c r="N135" s="7"/>
      <c r="O135" s="7"/>
      <c r="P135" s="7"/>
      <c r="Q135" s="7"/>
      <c r="R135" s="7"/>
      <c r="S135" s="7"/>
    </row>
    <row r="136" spans="2:19" x14ac:dyDescent="0.3">
      <c r="B136" s="7"/>
      <c r="C136" s="7"/>
      <c r="D136" s="7"/>
      <c r="E136" s="8"/>
      <c r="F136" s="7"/>
      <c r="G136" s="8"/>
      <c r="H136" s="9" t="str">
        <f t="shared" ca="1" si="1"/>
        <v/>
      </c>
      <c r="I136" s="10" t="str">
        <f ca="1">IF($H136="","",IF($H136&gt;=[1]Guide_Brands!$B$33,"Strong",IF($H136&gt;=[1]Guide_Brands!$B$34,"Medium","Early / short")))</f>
        <v/>
      </c>
      <c r="J136" s="11"/>
      <c r="K136" s="7"/>
      <c r="L136" s="7"/>
      <c r="M136" s="7"/>
      <c r="N136" s="7"/>
      <c r="O136" s="7"/>
      <c r="P136" s="7"/>
      <c r="Q136" s="7"/>
      <c r="R136" s="7"/>
      <c r="S136" s="7"/>
    </row>
    <row r="137" spans="2:19" x14ac:dyDescent="0.3">
      <c r="B137" s="7"/>
      <c r="C137" s="7"/>
      <c r="D137" s="7"/>
      <c r="E137" s="8"/>
      <c r="F137" s="7"/>
      <c r="G137" s="8"/>
      <c r="H137" s="9" t="str">
        <f t="shared" ca="1" si="1"/>
        <v/>
      </c>
      <c r="I137" s="10" t="str">
        <f ca="1">IF($H137="","",IF($H137&gt;=[1]Guide_Brands!$B$33,"Strong",IF($H137&gt;=[1]Guide_Brands!$B$34,"Medium","Early / short")))</f>
        <v/>
      </c>
      <c r="J137" s="11"/>
      <c r="K137" s="7"/>
      <c r="L137" s="7"/>
      <c r="M137" s="7"/>
      <c r="N137" s="7"/>
      <c r="O137" s="7"/>
      <c r="P137" s="7"/>
      <c r="Q137" s="7"/>
      <c r="R137" s="7"/>
      <c r="S137" s="7"/>
    </row>
    <row r="138" spans="2:19" x14ac:dyDescent="0.3">
      <c r="B138" s="7"/>
      <c r="C138" s="7"/>
      <c r="D138" s="7"/>
      <c r="E138" s="8"/>
      <c r="F138" s="7"/>
      <c r="G138" s="8"/>
      <c r="H138" s="9" t="str">
        <f t="shared" ca="1" si="1"/>
        <v/>
      </c>
      <c r="I138" s="10" t="str">
        <f ca="1">IF($H138="","",IF($H138&gt;=[1]Guide_Brands!$B$33,"Strong",IF($H138&gt;=[1]Guide_Brands!$B$34,"Medium","Early / short")))</f>
        <v/>
      </c>
      <c r="J138" s="11"/>
      <c r="K138" s="7"/>
      <c r="L138" s="7"/>
      <c r="M138" s="7"/>
      <c r="N138" s="7"/>
      <c r="O138" s="7"/>
      <c r="P138" s="7"/>
      <c r="Q138" s="7"/>
      <c r="R138" s="7"/>
      <c r="S138" s="7"/>
    </row>
    <row r="139" spans="2:19" x14ac:dyDescent="0.3">
      <c r="B139" s="7"/>
      <c r="C139" s="7"/>
      <c r="D139" s="7"/>
      <c r="E139" s="8"/>
      <c r="F139" s="7"/>
      <c r="G139" s="8"/>
      <c r="H139" s="9" t="str">
        <f t="shared" ca="1" si="1"/>
        <v/>
      </c>
      <c r="I139" s="10" t="str">
        <f ca="1">IF($H139="","",IF($H139&gt;=[1]Guide_Brands!$B$33,"Strong",IF($H139&gt;=[1]Guide_Brands!$B$34,"Medium","Early / short")))</f>
        <v/>
      </c>
      <c r="J139" s="11"/>
      <c r="K139" s="7"/>
      <c r="L139" s="7"/>
      <c r="M139" s="7"/>
      <c r="N139" s="7"/>
      <c r="O139" s="7"/>
      <c r="P139" s="7"/>
      <c r="Q139" s="7"/>
      <c r="R139" s="7"/>
      <c r="S139" s="7"/>
    </row>
    <row r="140" spans="2:19" x14ac:dyDescent="0.3">
      <c r="B140" s="7"/>
      <c r="C140" s="7"/>
      <c r="D140" s="7"/>
      <c r="E140" s="8"/>
      <c r="F140" s="7"/>
      <c r="G140" s="8"/>
      <c r="H140" s="9" t="str">
        <f t="shared" ca="1" si="1"/>
        <v/>
      </c>
      <c r="I140" s="10" t="str">
        <f ca="1">IF($H140="","",IF($H140&gt;=[1]Guide_Brands!$B$33,"Strong",IF($H140&gt;=[1]Guide_Brands!$B$34,"Medium","Early / short")))</f>
        <v/>
      </c>
      <c r="J140" s="11"/>
      <c r="K140" s="7"/>
      <c r="L140" s="7"/>
      <c r="M140" s="7"/>
      <c r="N140" s="7"/>
      <c r="O140" s="7"/>
      <c r="P140" s="7"/>
      <c r="Q140" s="7"/>
      <c r="R140" s="7"/>
      <c r="S140" s="7"/>
    </row>
    <row r="141" spans="2:19" x14ac:dyDescent="0.3">
      <c r="B141" s="7"/>
      <c r="C141" s="7"/>
      <c r="D141" s="7"/>
      <c r="E141" s="8"/>
      <c r="F141" s="7"/>
      <c r="G141" s="8"/>
      <c r="H141" s="9" t="str">
        <f t="shared" ca="1" si="1"/>
        <v/>
      </c>
      <c r="I141" s="10" t="str">
        <f ca="1">IF($H141="","",IF($H141&gt;=[1]Guide_Brands!$B$33,"Strong",IF($H141&gt;=[1]Guide_Brands!$B$34,"Medium","Early / short")))</f>
        <v/>
      </c>
      <c r="J141" s="11"/>
      <c r="K141" s="7"/>
      <c r="L141" s="7"/>
      <c r="M141" s="7"/>
      <c r="N141" s="7"/>
      <c r="O141" s="7"/>
      <c r="P141" s="7"/>
      <c r="Q141" s="7"/>
      <c r="R141" s="7"/>
      <c r="S141" s="7"/>
    </row>
    <row r="142" spans="2:19" x14ac:dyDescent="0.3">
      <c r="B142" s="7"/>
      <c r="C142" s="7"/>
      <c r="D142" s="7"/>
      <c r="E142" s="8"/>
      <c r="F142" s="7"/>
      <c r="G142" s="8"/>
      <c r="H142" s="9" t="str">
        <f t="shared" ca="1" si="1"/>
        <v/>
      </c>
      <c r="I142" s="10" t="str">
        <f ca="1">IF($H142="","",IF($H142&gt;=[1]Guide_Brands!$B$33,"Strong",IF($H142&gt;=[1]Guide_Brands!$B$34,"Medium","Early / short")))</f>
        <v/>
      </c>
      <c r="J142" s="11"/>
      <c r="K142" s="7"/>
      <c r="L142" s="7"/>
      <c r="M142" s="7"/>
      <c r="N142" s="7"/>
      <c r="O142" s="7"/>
      <c r="P142" s="7"/>
      <c r="Q142" s="7"/>
      <c r="R142" s="7"/>
      <c r="S142" s="7"/>
    </row>
    <row r="143" spans="2:19" x14ac:dyDescent="0.3">
      <c r="B143" s="7"/>
      <c r="C143" s="7"/>
      <c r="D143" s="7"/>
      <c r="E143" s="8"/>
      <c r="F143" s="7"/>
      <c r="G143" s="8"/>
      <c r="H143" s="9" t="str">
        <f t="shared" ca="1" si="1"/>
        <v/>
      </c>
      <c r="I143" s="10" t="str">
        <f ca="1">IF($H143="","",IF($H143&gt;=[1]Guide_Brands!$B$33,"Strong",IF($H143&gt;=[1]Guide_Brands!$B$34,"Medium","Early / short")))</f>
        <v/>
      </c>
      <c r="J143" s="11"/>
      <c r="K143" s="7"/>
      <c r="L143" s="7"/>
      <c r="M143" s="7"/>
      <c r="N143" s="7"/>
      <c r="O143" s="7"/>
      <c r="P143" s="7"/>
      <c r="Q143" s="7"/>
      <c r="R143" s="7"/>
      <c r="S143" s="7"/>
    </row>
    <row r="144" spans="2:19" x14ac:dyDescent="0.3">
      <c r="B144" s="7"/>
      <c r="C144" s="7"/>
      <c r="D144" s="7"/>
      <c r="E144" s="8"/>
      <c r="F144" s="7"/>
      <c r="G144" s="8"/>
      <c r="H144" s="9" t="str">
        <f t="shared" ca="1" si="1"/>
        <v/>
      </c>
      <c r="I144" s="10" t="str">
        <f ca="1">IF($H144="","",IF($H144&gt;=[1]Guide_Brands!$B$33,"Strong",IF($H144&gt;=[1]Guide_Brands!$B$34,"Medium","Early / short")))</f>
        <v/>
      </c>
      <c r="J144" s="11"/>
      <c r="K144" s="7"/>
      <c r="L144" s="7"/>
      <c r="M144" s="7"/>
      <c r="N144" s="7"/>
      <c r="O144" s="7"/>
      <c r="P144" s="7"/>
      <c r="Q144" s="7"/>
      <c r="R144" s="7"/>
      <c r="S144" s="7"/>
    </row>
    <row r="145" spans="2:19" x14ac:dyDescent="0.3">
      <c r="B145" s="7"/>
      <c r="C145" s="7"/>
      <c r="D145" s="7"/>
      <c r="E145" s="8"/>
      <c r="F145" s="7"/>
      <c r="G145" s="8"/>
      <c r="H145" s="9" t="str">
        <f t="shared" ca="1" si="1"/>
        <v/>
      </c>
      <c r="I145" s="10" t="str">
        <f ca="1">IF($H145="","",IF($H145&gt;=[1]Guide_Brands!$B$33,"Strong",IF($H145&gt;=[1]Guide_Brands!$B$34,"Medium","Early / short")))</f>
        <v/>
      </c>
      <c r="J145" s="11"/>
      <c r="K145" s="7"/>
      <c r="L145" s="7"/>
      <c r="M145" s="7"/>
      <c r="N145" s="7"/>
      <c r="O145" s="7"/>
      <c r="P145" s="7"/>
      <c r="Q145" s="7"/>
      <c r="R145" s="7"/>
      <c r="S145" s="7"/>
    </row>
    <row r="146" spans="2:19" x14ac:dyDescent="0.3">
      <c r="B146" s="7"/>
      <c r="C146" s="7"/>
      <c r="D146" s="7"/>
      <c r="E146" s="8"/>
      <c r="F146" s="7"/>
      <c r="G146" s="8"/>
      <c r="H146" s="9" t="str">
        <f t="shared" ca="1" si="1"/>
        <v/>
      </c>
      <c r="I146" s="10" t="str">
        <f ca="1">IF($H146="","",IF($H146&gt;=[1]Guide_Brands!$B$33,"Strong",IF($H146&gt;=[1]Guide_Brands!$B$34,"Medium","Early / short")))</f>
        <v/>
      </c>
      <c r="J146" s="11"/>
      <c r="K146" s="7"/>
      <c r="L146" s="7"/>
      <c r="M146" s="7"/>
      <c r="N146" s="7"/>
      <c r="O146" s="7"/>
      <c r="P146" s="7"/>
      <c r="Q146" s="7"/>
      <c r="R146" s="7"/>
      <c r="S146" s="7"/>
    </row>
    <row r="147" spans="2:19" x14ac:dyDescent="0.3">
      <c r="B147" s="7"/>
      <c r="C147" s="7"/>
      <c r="D147" s="7"/>
      <c r="E147" s="8"/>
      <c r="F147" s="7"/>
      <c r="G147" s="8"/>
      <c r="H147" s="9" t="str">
        <f t="shared" ca="1" si="1"/>
        <v/>
      </c>
      <c r="I147" s="10" t="str">
        <f ca="1">IF($H147="","",IF($H147&gt;=[1]Guide_Brands!$B$33,"Strong",IF($H147&gt;=[1]Guide_Brands!$B$34,"Medium","Early / short")))</f>
        <v/>
      </c>
      <c r="J147" s="11"/>
      <c r="K147" s="7"/>
      <c r="L147" s="7"/>
      <c r="M147" s="7"/>
      <c r="N147" s="7"/>
      <c r="O147" s="7"/>
      <c r="P147" s="7"/>
      <c r="Q147" s="7"/>
      <c r="R147" s="7"/>
      <c r="S147" s="7"/>
    </row>
    <row r="148" spans="2:19" x14ac:dyDescent="0.3">
      <c r="B148" s="7"/>
      <c r="C148" s="7"/>
      <c r="D148" s="7"/>
      <c r="E148" s="8"/>
      <c r="F148" s="7"/>
      <c r="G148" s="8"/>
      <c r="H148" s="9" t="str">
        <f t="shared" ca="1" si="1"/>
        <v/>
      </c>
      <c r="I148" s="10" t="str">
        <f ca="1">IF($H148="","",IF($H148&gt;=[1]Guide_Brands!$B$33,"Strong",IF($H148&gt;=[1]Guide_Brands!$B$34,"Medium","Early / short")))</f>
        <v/>
      </c>
      <c r="J148" s="11"/>
      <c r="K148" s="7"/>
      <c r="L148" s="7"/>
      <c r="M148" s="7"/>
      <c r="N148" s="7"/>
      <c r="O148" s="7"/>
      <c r="P148" s="7"/>
      <c r="Q148" s="7"/>
      <c r="R148" s="7"/>
      <c r="S148" s="7"/>
    </row>
    <row r="149" spans="2:19" x14ac:dyDescent="0.3">
      <c r="B149" s="7"/>
      <c r="C149" s="7"/>
      <c r="D149" s="7"/>
      <c r="E149" s="8"/>
      <c r="F149" s="7"/>
      <c r="G149" s="8"/>
      <c r="H149" s="9" t="str">
        <f t="shared" ca="1" si="1"/>
        <v/>
      </c>
      <c r="I149" s="10" t="str">
        <f ca="1">IF($H149="","",IF($H149&gt;=[1]Guide_Brands!$B$33,"Strong",IF($H149&gt;=[1]Guide_Brands!$B$34,"Medium","Early / short")))</f>
        <v/>
      </c>
      <c r="J149" s="11"/>
      <c r="K149" s="7"/>
      <c r="L149" s="7"/>
      <c r="M149" s="7"/>
      <c r="N149" s="7"/>
      <c r="O149" s="7"/>
      <c r="P149" s="7"/>
      <c r="Q149" s="7"/>
      <c r="R149" s="7"/>
      <c r="S149" s="7"/>
    </row>
    <row r="150" spans="2:19" x14ac:dyDescent="0.3">
      <c r="B150" s="7"/>
      <c r="C150" s="7"/>
      <c r="D150" s="7"/>
      <c r="E150" s="8"/>
      <c r="F150" s="7"/>
      <c r="G150" s="8"/>
      <c r="H150" s="9" t="str">
        <f t="shared" ca="1" si="1"/>
        <v/>
      </c>
      <c r="I150" s="10" t="str">
        <f ca="1">IF($H150="","",IF($H150&gt;=[1]Guide_Brands!$B$33,"Strong",IF($H150&gt;=[1]Guide_Brands!$B$34,"Medium","Early / short")))</f>
        <v/>
      </c>
      <c r="J150" s="11"/>
      <c r="K150" s="7"/>
      <c r="L150" s="7"/>
      <c r="M150" s="7"/>
      <c r="N150" s="7"/>
      <c r="O150" s="7"/>
      <c r="P150" s="7"/>
      <c r="Q150" s="7"/>
      <c r="R150" s="7"/>
      <c r="S150" s="7"/>
    </row>
    <row r="151" spans="2:19" x14ac:dyDescent="0.3">
      <c r="B151" s="7"/>
      <c r="C151" s="7"/>
      <c r="D151" s="7"/>
      <c r="E151" s="8"/>
      <c r="F151" s="7"/>
      <c r="G151" s="8"/>
      <c r="H151" s="9" t="str">
        <f t="shared" ca="1" si="1"/>
        <v/>
      </c>
      <c r="I151" s="10" t="str">
        <f ca="1">IF($H151="","",IF($H151&gt;=[1]Guide_Brands!$B$33,"Strong",IF($H151&gt;=[1]Guide_Brands!$B$34,"Medium","Early / short")))</f>
        <v/>
      </c>
      <c r="J151" s="11"/>
      <c r="K151" s="7"/>
      <c r="L151" s="7"/>
      <c r="M151" s="7"/>
      <c r="N151" s="7"/>
      <c r="O151" s="7"/>
      <c r="P151" s="7"/>
      <c r="Q151" s="7"/>
      <c r="R151" s="7"/>
      <c r="S151" s="7"/>
    </row>
    <row r="152" spans="2:19" x14ac:dyDescent="0.3">
      <c r="B152" s="7"/>
      <c r="C152" s="7"/>
      <c r="D152" s="7"/>
      <c r="E152" s="8"/>
      <c r="F152" s="7"/>
      <c r="G152" s="8"/>
      <c r="H152" s="9" t="str">
        <f t="shared" ca="1" si="1"/>
        <v/>
      </c>
      <c r="I152" s="10" t="str">
        <f ca="1">IF($H152="","",IF($H152&gt;=[1]Guide_Brands!$B$33,"Strong",IF($H152&gt;=[1]Guide_Brands!$B$34,"Medium","Early / short")))</f>
        <v/>
      </c>
      <c r="J152" s="11"/>
      <c r="K152" s="7"/>
      <c r="L152" s="7"/>
      <c r="M152" s="7"/>
      <c r="N152" s="7"/>
      <c r="O152" s="7"/>
      <c r="P152" s="7"/>
      <c r="Q152" s="7"/>
      <c r="R152" s="7"/>
      <c r="S152" s="7"/>
    </row>
    <row r="153" spans="2:19" x14ac:dyDescent="0.3">
      <c r="B153" s="7"/>
      <c r="C153" s="7"/>
      <c r="D153" s="7"/>
      <c r="E153" s="8"/>
      <c r="F153" s="7"/>
      <c r="G153" s="8"/>
      <c r="H153" s="9" t="str">
        <f t="shared" ca="1" si="1"/>
        <v/>
      </c>
      <c r="I153" s="10" t="str">
        <f ca="1">IF($H153="","",IF($H153&gt;=[1]Guide_Brands!$B$33,"Strong",IF($H153&gt;=[1]Guide_Brands!$B$34,"Medium","Early / short")))</f>
        <v/>
      </c>
      <c r="J153" s="11"/>
      <c r="K153" s="7"/>
      <c r="L153" s="7"/>
      <c r="M153" s="7"/>
      <c r="N153" s="7"/>
      <c r="O153" s="7"/>
      <c r="P153" s="7"/>
      <c r="Q153" s="7"/>
      <c r="R153" s="7"/>
      <c r="S153" s="7"/>
    </row>
    <row r="154" spans="2:19" x14ac:dyDescent="0.3">
      <c r="B154" s="7"/>
      <c r="C154" s="7"/>
      <c r="D154" s="7"/>
      <c r="E154" s="8"/>
      <c r="F154" s="7"/>
      <c r="G154" s="8"/>
      <c r="H154" s="9" t="str">
        <f t="shared" ca="1" si="1"/>
        <v/>
      </c>
      <c r="I154" s="10" t="str">
        <f ca="1">IF($H154="","",IF($H154&gt;=[1]Guide_Brands!$B$33,"Strong",IF($H154&gt;=[1]Guide_Brands!$B$34,"Medium","Early / short")))</f>
        <v/>
      </c>
      <c r="J154" s="11"/>
      <c r="K154" s="7"/>
      <c r="L154" s="7"/>
      <c r="M154" s="7"/>
      <c r="N154" s="7"/>
      <c r="O154" s="7"/>
      <c r="P154" s="7"/>
      <c r="Q154" s="7"/>
      <c r="R154" s="7"/>
      <c r="S154" s="7"/>
    </row>
    <row r="155" spans="2:19" x14ac:dyDescent="0.3">
      <c r="B155" s="7"/>
      <c r="C155" s="7"/>
      <c r="D155" s="7"/>
      <c r="E155" s="8"/>
      <c r="F155" s="7"/>
      <c r="G155" s="8"/>
      <c r="H155" s="9" t="str">
        <f t="shared" ca="1" si="1"/>
        <v/>
      </c>
      <c r="I155" s="10" t="str">
        <f ca="1">IF($H155="","",IF($H155&gt;=[1]Guide_Brands!$B$33,"Strong",IF($H155&gt;=[1]Guide_Brands!$B$34,"Medium","Early / short")))</f>
        <v/>
      </c>
      <c r="J155" s="11"/>
      <c r="K155" s="7"/>
      <c r="L155" s="7"/>
      <c r="M155" s="7"/>
      <c r="N155" s="7"/>
      <c r="O155" s="7"/>
      <c r="P155" s="7"/>
      <c r="Q155" s="7"/>
      <c r="R155" s="7"/>
      <c r="S155" s="7"/>
    </row>
    <row r="156" spans="2:19" x14ac:dyDescent="0.3">
      <c r="B156" s="7"/>
      <c r="C156" s="7"/>
      <c r="D156" s="7"/>
      <c r="E156" s="8"/>
      <c r="F156" s="7"/>
      <c r="G156" s="8"/>
      <c r="H156" s="9" t="str">
        <f t="shared" ca="1" si="1"/>
        <v/>
      </c>
      <c r="I156" s="10" t="str">
        <f ca="1">IF($H156="","",IF($H156&gt;=[1]Guide_Brands!$B$33,"Strong",IF($H156&gt;=[1]Guide_Brands!$B$34,"Medium","Early / short")))</f>
        <v/>
      </c>
      <c r="J156" s="11"/>
      <c r="K156" s="7"/>
      <c r="L156" s="7"/>
      <c r="M156" s="7"/>
      <c r="N156" s="7"/>
      <c r="O156" s="7"/>
      <c r="P156" s="7"/>
      <c r="Q156" s="7"/>
      <c r="R156" s="7"/>
      <c r="S156" s="7"/>
    </row>
    <row r="157" spans="2:19" x14ac:dyDescent="0.3">
      <c r="B157" s="7"/>
      <c r="C157" s="7"/>
      <c r="D157" s="7"/>
      <c r="E157" s="8"/>
      <c r="F157" s="7"/>
      <c r="G157" s="8"/>
      <c r="H157" s="9" t="str">
        <f t="shared" ca="1" si="1"/>
        <v/>
      </c>
      <c r="I157" s="10" t="str">
        <f ca="1">IF($H157="","",IF($H157&gt;=[1]Guide_Brands!$B$33,"Strong",IF($H157&gt;=[1]Guide_Brands!$B$34,"Medium","Early / short")))</f>
        <v/>
      </c>
      <c r="J157" s="11"/>
      <c r="K157" s="7"/>
      <c r="L157" s="7"/>
      <c r="M157" s="7"/>
      <c r="N157" s="7"/>
      <c r="O157" s="7"/>
      <c r="P157" s="7"/>
      <c r="Q157" s="7"/>
      <c r="R157" s="7"/>
      <c r="S157" s="7"/>
    </row>
    <row r="158" spans="2:19" x14ac:dyDescent="0.3">
      <c r="B158" s="7"/>
      <c r="C158" s="7"/>
      <c r="D158" s="7"/>
      <c r="E158" s="8"/>
      <c r="F158" s="7"/>
      <c r="G158" s="8"/>
      <c r="H158" s="9" t="str">
        <f t="shared" ca="1" si="1"/>
        <v/>
      </c>
      <c r="I158" s="10" t="str">
        <f ca="1">IF($H158="","",IF($H158&gt;=[1]Guide_Brands!$B$33,"Strong",IF($H158&gt;=[1]Guide_Brands!$B$34,"Medium","Early / short")))</f>
        <v/>
      </c>
      <c r="J158" s="11"/>
      <c r="K158" s="7"/>
      <c r="L158" s="7"/>
      <c r="M158" s="7"/>
      <c r="N158" s="7"/>
      <c r="O158" s="7"/>
      <c r="P158" s="7"/>
      <c r="Q158" s="7"/>
      <c r="R158" s="7"/>
      <c r="S158" s="7"/>
    </row>
    <row r="159" spans="2:19" x14ac:dyDescent="0.3">
      <c r="B159" s="7"/>
      <c r="C159" s="7"/>
      <c r="D159" s="7"/>
      <c r="E159" s="8"/>
      <c r="F159" s="7"/>
      <c r="G159" s="8"/>
      <c r="H159" s="9" t="str">
        <f t="shared" ca="1" si="1"/>
        <v/>
      </c>
      <c r="I159" s="10" t="str">
        <f ca="1">IF($H159="","",IF($H159&gt;=[1]Guide_Brands!$B$33,"Strong",IF($H159&gt;=[1]Guide_Brands!$B$34,"Medium","Early / short")))</f>
        <v/>
      </c>
      <c r="J159" s="11"/>
      <c r="K159" s="7"/>
      <c r="L159" s="7"/>
      <c r="M159" s="7"/>
      <c r="N159" s="7"/>
      <c r="O159" s="7"/>
      <c r="P159" s="7"/>
      <c r="Q159" s="7"/>
      <c r="R159" s="7"/>
      <c r="S159" s="7"/>
    </row>
    <row r="160" spans="2:19" x14ac:dyDescent="0.3">
      <c r="B160" s="7"/>
      <c r="C160" s="7"/>
      <c r="D160" s="7"/>
      <c r="E160" s="8"/>
      <c r="F160" s="7"/>
      <c r="G160" s="8"/>
      <c r="H160" s="9" t="str">
        <f t="shared" ca="1" si="1"/>
        <v/>
      </c>
      <c r="I160" s="10" t="str">
        <f ca="1">IF($H160="","",IF($H160&gt;=[1]Guide_Brands!$B$33,"Strong",IF($H160&gt;=[1]Guide_Brands!$B$34,"Medium","Early / short")))</f>
        <v/>
      </c>
      <c r="J160" s="11"/>
      <c r="K160" s="7"/>
      <c r="L160" s="7"/>
      <c r="M160" s="7"/>
      <c r="N160" s="7"/>
      <c r="O160" s="7"/>
      <c r="P160" s="7"/>
      <c r="Q160" s="7"/>
      <c r="R160" s="7"/>
      <c r="S160" s="7"/>
    </row>
    <row r="161" spans="2:19" x14ac:dyDescent="0.3">
      <c r="B161" s="7"/>
      <c r="C161" s="7"/>
      <c r="D161" s="7"/>
      <c r="E161" s="8"/>
      <c r="F161" s="7"/>
      <c r="G161" s="8"/>
      <c r="H161" s="9" t="str">
        <f t="shared" ca="1" si="1"/>
        <v/>
      </c>
      <c r="I161" s="10" t="str">
        <f ca="1">IF($H161="","",IF($H161&gt;=[1]Guide_Brands!$B$33,"Strong",IF($H161&gt;=[1]Guide_Brands!$B$34,"Medium","Early / short")))</f>
        <v/>
      </c>
      <c r="J161" s="11"/>
      <c r="K161" s="7"/>
      <c r="L161" s="7"/>
      <c r="M161" s="7"/>
      <c r="N161" s="7"/>
      <c r="O161" s="7"/>
      <c r="P161" s="7"/>
      <c r="Q161" s="7"/>
      <c r="R161" s="7"/>
      <c r="S161" s="7"/>
    </row>
    <row r="162" spans="2:19" x14ac:dyDescent="0.3">
      <c r="B162" s="7"/>
      <c r="C162" s="7"/>
      <c r="D162" s="7"/>
      <c r="E162" s="8"/>
      <c r="F162" s="7"/>
      <c r="G162" s="8"/>
      <c r="H162" s="9" t="str">
        <f t="shared" ca="1" si="1"/>
        <v/>
      </c>
      <c r="I162" s="10" t="str">
        <f ca="1">IF($H162="","",IF($H162&gt;=[1]Guide_Brands!$B$33,"Strong",IF($H162&gt;=[1]Guide_Brands!$B$34,"Medium","Early / short")))</f>
        <v/>
      </c>
      <c r="J162" s="11"/>
      <c r="K162" s="7"/>
      <c r="L162" s="7"/>
      <c r="M162" s="7"/>
      <c r="N162" s="7"/>
      <c r="O162" s="7"/>
      <c r="P162" s="7"/>
      <c r="Q162" s="7"/>
      <c r="R162" s="7"/>
      <c r="S162" s="7"/>
    </row>
    <row r="163" spans="2:19" x14ac:dyDescent="0.3">
      <c r="B163" s="7"/>
      <c r="C163" s="7"/>
      <c r="D163" s="7"/>
      <c r="E163" s="8"/>
      <c r="F163" s="7"/>
      <c r="G163" s="8"/>
      <c r="H163" s="9" t="str">
        <f t="shared" ca="1" si="1"/>
        <v/>
      </c>
      <c r="I163" s="10" t="str">
        <f ca="1">IF($H163="","",IF($H163&gt;=[1]Guide_Brands!$B$33,"Strong",IF($H163&gt;=[1]Guide_Brands!$B$34,"Medium","Early / short")))</f>
        <v/>
      </c>
      <c r="J163" s="11"/>
      <c r="K163" s="7"/>
      <c r="L163" s="7"/>
      <c r="M163" s="7"/>
      <c r="N163" s="7"/>
      <c r="O163" s="7"/>
      <c r="P163" s="7"/>
      <c r="Q163" s="7"/>
      <c r="R163" s="7"/>
      <c r="S163" s="7"/>
    </row>
    <row r="164" spans="2:19" x14ac:dyDescent="0.3">
      <c r="B164" s="7"/>
      <c r="C164" s="7"/>
      <c r="D164" s="7"/>
      <c r="E164" s="8"/>
      <c r="F164" s="7"/>
      <c r="G164" s="8"/>
      <c r="H164" s="9" t="str">
        <f t="shared" ca="1" si="1"/>
        <v/>
      </c>
      <c r="I164" s="10" t="str">
        <f ca="1">IF($H164="","",IF($H164&gt;=[1]Guide_Brands!$B$33,"Strong",IF($H164&gt;=[1]Guide_Brands!$B$34,"Medium","Early / short")))</f>
        <v/>
      </c>
      <c r="J164" s="11"/>
      <c r="K164" s="7"/>
      <c r="L164" s="7"/>
      <c r="M164" s="7"/>
      <c r="N164" s="7"/>
      <c r="O164" s="7"/>
      <c r="P164" s="7"/>
      <c r="Q164" s="7"/>
      <c r="R164" s="7"/>
      <c r="S164" s="7"/>
    </row>
    <row r="165" spans="2:19" x14ac:dyDescent="0.3">
      <c r="B165" s="7"/>
      <c r="C165" s="7"/>
      <c r="D165" s="7"/>
      <c r="E165" s="8"/>
      <c r="F165" s="7"/>
      <c r="G165" s="8"/>
      <c r="H165" s="9" t="str">
        <f t="shared" ca="1" si="1"/>
        <v/>
      </c>
      <c r="I165" s="10" t="str">
        <f ca="1">IF($H165="","",IF($H165&gt;=[1]Guide_Brands!$B$33,"Strong",IF($H165&gt;=[1]Guide_Brands!$B$34,"Medium","Early / short")))</f>
        <v/>
      </c>
      <c r="J165" s="11"/>
      <c r="K165" s="7"/>
      <c r="L165" s="7"/>
      <c r="M165" s="7"/>
      <c r="N165" s="7"/>
      <c r="O165" s="7"/>
      <c r="P165" s="7"/>
      <c r="Q165" s="7"/>
      <c r="R165" s="7"/>
      <c r="S165" s="7"/>
    </row>
    <row r="166" spans="2:19" x14ac:dyDescent="0.3">
      <c r="B166" s="7"/>
      <c r="C166" s="7"/>
      <c r="D166" s="7"/>
      <c r="E166" s="8"/>
      <c r="F166" s="7"/>
      <c r="G166" s="8"/>
      <c r="H166" s="9" t="str">
        <f t="shared" ca="1" si="1"/>
        <v/>
      </c>
      <c r="I166" s="10" t="str">
        <f ca="1">IF($H166="","",IF($H166&gt;=[1]Guide_Brands!$B$33,"Strong",IF($H166&gt;=[1]Guide_Brands!$B$34,"Medium","Early / short")))</f>
        <v/>
      </c>
      <c r="J166" s="11"/>
      <c r="K166" s="7"/>
      <c r="L166" s="7"/>
      <c r="M166" s="7"/>
      <c r="N166" s="7"/>
      <c r="O166" s="7"/>
      <c r="P166" s="7"/>
      <c r="Q166" s="7"/>
      <c r="R166" s="7"/>
      <c r="S166" s="7"/>
    </row>
    <row r="167" spans="2:19" x14ac:dyDescent="0.3">
      <c r="B167" s="7"/>
      <c r="C167" s="7"/>
      <c r="D167" s="7"/>
      <c r="E167" s="8"/>
      <c r="F167" s="7"/>
      <c r="G167" s="8"/>
      <c r="H167" s="9" t="str">
        <f t="shared" ca="1" si="1"/>
        <v/>
      </c>
      <c r="I167" s="10" t="str">
        <f ca="1">IF($H167="","",IF($H167&gt;=[1]Guide_Brands!$B$33,"Strong",IF($H167&gt;=[1]Guide_Brands!$B$34,"Medium","Early / short")))</f>
        <v/>
      </c>
      <c r="J167" s="11"/>
      <c r="K167" s="7"/>
      <c r="L167" s="7"/>
      <c r="M167" s="7"/>
      <c r="N167" s="7"/>
      <c r="O167" s="7"/>
      <c r="P167" s="7"/>
      <c r="Q167" s="7"/>
      <c r="R167" s="7"/>
      <c r="S167" s="7"/>
    </row>
    <row r="168" spans="2:19" x14ac:dyDescent="0.3">
      <c r="B168" s="7"/>
      <c r="C168" s="7"/>
      <c r="D168" s="7"/>
      <c r="E168" s="8"/>
      <c r="F168" s="7"/>
      <c r="G168" s="8"/>
      <c r="H168" s="9" t="str">
        <f t="shared" ca="1" si="1"/>
        <v/>
      </c>
      <c r="I168" s="10" t="str">
        <f ca="1">IF($H168="","",IF($H168&gt;=[1]Guide_Brands!$B$33,"Strong",IF($H168&gt;=[1]Guide_Brands!$B$34,"Medium","Early / short")))</f>
        <v/>
      </c>
      <c r="J168" s="11"/>
      <c r="K168" s="7"/>
      <c r="L168" s="7"/>
      <c r="M168" s="7"/>
      <c r="N168" s="7"/>
      <c r="O168" s="7"/>
      <c r="P168" s="7"/>
      <c r="Q168" s="7"/>
      <c r="R168" s="7"/>
      <c r="S168" s="7"/>
    </row>
    <row r="169" spans="2:19" x14ac:dyDescent="0.3">
      <c r="B169" s="7"/>
      <c r="C169" s="7"/>
      <c r="D169" s="7"/>
      <c r="E169" s="8"/>
      <c r="F169" s="7"/>
      <c r="G169" s="8"/>
      <c r="H169" s="9" t="str">
        <f t="shared" ca="1" si="1"/>
        <v/>
      </c>
      <c r="I169" s="10" t="str">
        <f ca="1">IF($H169="","",IF($H169&gt;=[1]Guide_Brands!$B$33,"Strong",IF($H169&gt;=[1]Guide_Brands!$B$34,"Medium","Early / short")))</f>
        <v/>
      </c>
      <c r="J169" s="11"/>
      <c r="K169" s="7"/>
      <c r="L169" s="7"/>
      <c r="M169" s="7"/>
      <c r="N169" s="7"/>
      <c r="O169" s="7"/>
      <c r="P169" s="7"/>
      <c r="Q169" s="7"/>
      <c r="R169" s="7"/>
      <c r="S169" s="7"/>
    </row>
    <row r="170" spans="2:19" x14ac:dyDescent="0.3">
      <c r="B170" s="7"/>
      <c r="C170" s="7"/>
      <c r="D170" s="7"/>
      <c r="E170" s="8"/>
      <c r="F170" s="7"/>
      <c r="G170" s="8"/>
      <c r="H170" s="9" t="str">
        <f t="shared" ca="1" si="1"/>
        <v/>
      </c>
      <c r="I170" s="10" t="str">
        <f ca="1">IF($H170="","",IF($H170&gt;=[1]Guide_Brands!$B$33,"Strong",IF($H170&gt;=[1]Guide_Brands!$B$34,"Medium","Early / short")))</f>
        <v/>
      </c>
      <c r="J170" s="11"/>
      <c r="K170" s="7"/>
      <c r="L170" s="7"/>
      <c r="M170" s="7"/>
      <c r="N170" s="7"/>
      <c r="O170" s="7"/>
      <c r="P170" s="7"/>
      <c r="Q170" s="7"/>
      <c r="R170" s="7"/>
      <c r="S170" s="7"/>
    </row>
    <row r="171" spans="2:19" x14ac:dyDescent="0.3">
      <c r="B171" s="7"/>
      <c r="C171" s="7"/>
      <c r="D171" s="7"/>
      <c r="E171" s="8"/>
      <c r="F171" s="7"/>
      <c r="G171" s="8"/>
      <c r="H171" s="9" t="str">
        <f t="shared" ca="1" si="1"/>
        <v/>
      </c>
      <c r="I171" s="10" t="str">
        <f ca="1">IF($H171="","",IF($H171&gt;=[1]Guide_Brands!$B$33,"Strong",IF($H171&gt;=[1]Guide_Brands!$B$34,"Medium","Early / short")))</f>
        <v/>
      </c>
      <c r="J171" s="11"/>
      <c r="K171" s="7"/>
      <c r="L171" s="7"/>
      <c r="M171" s="7"/>
      <c r="N171" s="7"/>
      <c r="O171" s="7"/>
      <c r="P171" s="7"/>
      <c r="Q171" s="7"/>
      <c r="R171" s="7"/>
      <c r="S171" s="7"/>
    </row>
    <row r="172" spans="2:19" x14ac:dyDescent="0.3">
      <c r="B172" s="7"/>
      <c r="C172" s="7"/>
      <c r="D172" s="7"/>
      <c r="E172" s="8"/>
      <c r="F172" s="7"/>
      <c r="G172" s="8"/>
      <c r="H172" s="9" t="str">
        <f t="shared" ca="1" si="1"/>
        <v/>
      </c>
      <c r="I172" s="10" t="str">
        <f ca="1">IF($H172="","",IF($H172&gt;=[1]Guide_Brands!$B$33,"Strong",IF($H172&gt;=[1]Guide_Brands!$B$34,"Medium","Early / short")))</f>
        <v/>
      </c>
      <c r="J172" s="11"/>
      <c r="K172" s="7"/>
      <c r="L172" s="7"/>
      <c r="M172" s="7"/>
      <c r="N172" s="7"/>
      <c r="O172" s="7"/>
      <c r="P172" s="7"/>
      <c r="Q172" s="7"/>
      <c r="R172" s="7"/>
      <c r="S172" s="7"/>
    </row>
    <row r="173" spans="2:19" x14ac:dyDescent="0.3">
      <c r="B173" s="7"/>
      <c r="C173" s="7"/>
      <c r="D173" s="7"/>
      <c r="E173" s="8"/>
      <c r="F173" s="7"/>
      <c r="G173" s="8"/>
      <c r="H173" s="9" t="str">
        <f t="shared" ca="1" si="1"/>
        <v/>
      </c>
      <c r="I173" s="10" t="str">
        <f ca="1">IF($H173="","",IF($H173&gt;=[1]Guide_Brands!$B$33,"Strong",IF($H173&gt;=[1]Guide_Brands!$B$34,"Medium","Early / short")))</f>
        <v/>
      </c>
      <c r="J173" s="11"/>
      <c r="K173" s="7"/>
      <c r="L173" s="7"/>
      <c r="M173" s="7"/>
      <c r="N173" s="7"/>
      <c r="O173" s="7"/>
      <c r="P173" s="7"/>
      <c r="Q173" s="7"/>
      <c r="R173" s="7"/>
      <c r="S173" s="7"/>
    </row>
    <row r="174" spans="2:19" x14ac:dyDescent="0.3">
      <c r="B174" s="7"/>
      <c r="C174" s="7"/>
      <c r="D174" s="7"/>
      <c r="E174" s="8"/>
      <c r="F174" s="7"/>
      <c r="G174" s="8"/>
      <c r="H174" s="9" t="str">
        <f t="shared" ca="1" si="1"/>
        <v/>
      </c>
      <c r="I174" s="10" t="str">
        <f ca="1">IF($H174="","",IF($H174&gt;=[1]Guide_Brands!$B$33,"Strong",IF($H174&gt;=[1]Guide_Brands!$B$34,"Medium","Early / short")))</f>
        <v/>
      </c>
      <c r="J174" s="11"/>
      <c r="K174" s="7"/>
      <c r="L174" s="7"/>
      <c r="M174" s="7"/>
      <c r="N174" s="7"/>
      <c r="O174" s="7"/>
      <c r="P174" s="7"/>
      <c r="Q174" s="7"/>
      <c r="R174" s="7"/>
      <c r="S174" s="7"/>
    </row>
    <row r="175" spans="2:19" x14ac:dyDescent="0.3">
      <c r="B175" s="7"/>
      <c r="C175" s="7"/>
      <c r="D175" s="7"/>
      <c r="E175" s="8"/>
      <c r="F175" s="7"/>
      <c r="G175" s="8"/>
      <c r="H175" s="9" t="str">
        <f t="shared" ca="1" si="1"/>
        <v/>
      </c>
      <c r="I175" s="10" t="str">
        <f ca="1">IF($H175="","",IF($H175&gt;=[1]Guide_Brands!$B$33,"Strong",IF($H175&gt;=[1]Guide_Brands!$B$34,"Medium","Early / short")))</f>
        <v/>
      </c>
      <c r="J175" s="11"/>
      <c r="K175" s="7"/>
      <c r="L175" s="7"/>
      <c r="M175" s="7"/>
      <c r="N175" s="7"/>
      <c r="O175" s="7"/>
      <c r="P175" s="7"/>
      <c r="Q175" s="7"/>
      <c r="R175" s="7"/>
      <c r="S175" s="7"/>
    </row>
    <row r="176" spans="2:19" x14ac:dyDescent="0.3">
      <c r="B176" s="7"/>
      <c r="C176" s="7"/>
      <c r="D176" s="7"/>
      <c r="E176" s="8"/>
      <c r="F176" s="7"/>
      <c r="G176" s="8"/>
      <c r="H176" s="9" t="str">
        <f t="shared" ca="1" si="1"/>
        <v/>
      </c>
      <c r="I176" s="10" t="str">
        <f ca="1">IF($H176="","",IF($H176&gt;=[1]Guide_Brands!$B$33,"Strong",IF($H176&gt;=[1]Guide_Brands!$B$34,"Medium","Early / short")))</f>
        <v/>
      </c>
      <c r="J176" s="11"/>
      <c r="K176" s="7"/>
      <c r="L176" s="7"/>
      <c r="M176" s="7"/>
      <c r="N176" s="7"/>
      <c r="O176" s="7"/>
      <c r="P176" s="7"/>
      <c r="Q176" s="7"/>
      <c r="R176" s="7"/>
      <c r="S176" s="7"/>
    </row>
    <row r="177" spans="2:19" x14ac:dyDescent="0.3">
      <c r="B177" s="7"/>
      <c r="C177" s="7"/>
      <c r="D177" s="7"/>
      <c r="E177" s="8"/>
      <c r="F177" s="7"/>
      <c r="G177" s="8"/>
      <c r="H177" s="9" t="str">
        <f t="shared" ca="1" si="1"/>
        <v/>
      </c>
      <c r="I177" s="10" t="str">
        <f ca="1">IF($H177="","",IF($H177&gt;=[1]Guide_Brands!$B$33,"Strong",IF($H177&gt;=[1]Guide_Brands!$B$34,"Medium","Early / short")))</f>
        <v/>
      </c>
      <c r="J177" s="11"/>
      <c r="K177" s="7"/>
      <c r="L177" s="7"/>
      <c r="M177" s="7"/>
      <c r="N177" s="7"/>
      <c r="O177" s="7"/>
      <c r="P177" s="7"/>
      <c r="Q177" s="7"/>
      <c r="R177" s="7"/>
      <c r="S177" s="7"/>
    </row>
    <row r="178" spans="2:19" x14ac:dyDescent="0.3">
      <c r="B178" s="7"/>
      <c r="C178" s="7"/>
      <c r="D178" s="7"/>
      <c r="E178" s="8"/>
      <c r="F178" s="7"/>
      <c r="G178" s="8"/>
      <c r="H178" s="9" t="str">
        <f t="shared" ca="1" si="1"/>
        <v/>
      </c>
      <c r="I178" s="10" t="str">
        <f ca="1">IF($H178="","",IF($H178&gt;=[1]Guide_Brands!$B$33,"Strong",IF($H178&gt;=[1]Guide_Brands!$B$34,"Medium","Early / short")))</f>
        <v/>
      </c>
      <c r="J178" s="11"/>
      <c r="K178" s="7"/>
      <c r="L178" s="7"/>
      <c r="M178" s="7"/>
      <c r="N178" s="7"/>
      <c r="O178" s="7"/>
      <c r="P178" s="7"/>
      <c r="Q178" s="7"/>
      <c r="R178" s="7"/>
      <c r="S178" s="7"/>
    </row>
    <row r="179" spans="2:19" x14ac:dyDescent="0.3">
      <c r="B179" s="7"/>
      <c r="C179" s="7"/>
      <c r="D179" s="7"/>
      <c r="E179" s="8"/>
      <c r="F179" s="7"/>
      <c r="G179" s="8"/>
      <c r="H179" s="9" t="str">
        <f t="shared" ca="1" si="1"/>
        <v/>
      </c>
      <c r="I179" s="10" t="str">
        <f ca="1">IF($H179="","",IF($H179&gt;=[1]Guide_Brands!$B$33,"Strong",IF($H179&gt;=[1]Guide_Brands!$B$34,"Medium","Early / short")))</f>
        <v/>
      </c>
      <c r="J179" s="11"/>
      <c r="K179" s="7"/>
      <c r="L179" s="7"/>
      <c r="M179" s="7"/>
      <c r="N179" s="7"/>
      <c r="O179" s="7"/>
      <c r="P179" s="7"/>
      <c r="Q179" s="7"/>
      <c r="R179" s="7"/>
      <c r="S179" s="7"/>
    </row>
    <row r="180" spans="2:19" x14ac:dyDescent="0.3">
      <c r="B180" s="7"/>
      <c r="C180" s="7"/>
      <c r="D180" s="7"/>
      <c r="E180" s="8"/>
      <c r="F180" s="7"/>
      <c r="G180" s="8"/>
      <c r="H180" s="9" t="str">
        <f t="shared" ca="1" si="1"/>
        <v/>
      </c>
      <c r="I180" s="10" t="str">
        <f ca="1">IF($H180="","",IF($H180&gt;=[1]Guide_Brands!$B$33,"Strong",IF($H180&gt;=[1]Guide_Brands!$B$34,"Medium","Early / short")))</f>
        <v/>
      </c>
      <c r="J180" s="11"/>
      <c r="K180" s="7"/>
      <c r="L180" s="7"/>
      <c r="M180" s="7"/>
      <c r="N180" s="7"/>
      <c r="O180" s="7"/>
      <c r="P180" s="7"/>
      <c r="Q180" s="7"/>
      <c r="R180" s="7"/>
      <c r="S180" s="7"/>
    </row>
    <row r="181" spans="2:19" x14ac:dyDescent="0.3">
      <c r="B181" s="7"/>
      <c r="C181" s="7"/>
      <c r="D181" s="7"/>
      <c r="E181" s="8"/>
      <c r="F181" s="7"/>
      <c r="G181" s="8"/>
      <c r="H181" s="9" t="str">
        <f t="shared" ca="1" si="1"/>
        <v/>
      </c>
      <c r="I181" s="10" t="str">
        <f ca="1">IF($H181="","",IF($H181&gt;=[1]Guide_Brands!$B$33,"Strong",IF($H181&gt;=[1]Guide_Brands!$B$34,"Medium","Early / short")))</f>
        <v/>
      </c>
      <c r="J181" s="11"/>
      <c r="K181" s="7"/>
      <c r="L181" s="7"/>
      <c r="M181" s="7"/>
      <c r="N181" s="7"/>
      <c r="O181" s="7"/>
      <c r="P181" s="7"/>
      <c r="Q181" s="7"/>
      <c r="R181" s="7"/>
      <c r="S181" s="7"/>
    </row>
    <row r="182" spans="2:19" x14ac:dyDescent="0.3">
      <c r="B182" s="7"/>
      <c r="C182" s="7"/>
      <c r="D182" s="7"/>
      <c r="E182" s="8"/>
      <c r="F182" s="7"/>
      <c r="G182" s="8"/>
      <c r="H182" s="9" t="str">
        <f t="shared" ca="1" si="1"/>
        <v/>
      </c>
      <c r="I182" s="10" t="str">
        <f ca="1">IF($H182="","",IF($H182&gt;=[1]Guide_Brands!$B$33,"Strong",IF($H182&gt;=[1]Guide_Brands!$B$34,"Medium","Early / short")))</f>
        <v/>
      </c>
      <c r="J182" s="11"/>
      <c r="K182" s="7"/>
      <c r="L182" s="7"/>
      <c r="M182" s="7"/>
      <c r="N182" s="7"/>
      <c r="O182" s="7"/>
      <c r="P182" s="7"/>
      <c r="Q182" s="7"/>
      <c r="R182" s="7"/>
      <c r="S182" s="7"/>
    </row>
    <row r="183" spans="2:19" x14ac:dyDescent="0.3">
      <c r="B183" s="7"/>
      <c r="C183" s="7"/>
      <c r="D183" s="7"/>
      <c r="E183" s="8"/>
      <c r="F183" s="7"/>
      <c r="G183" s="8"/>
      <c r="H183" s="9" t="str">
        <f t="shared" ca="1" si="1"/>
        <v/>
      </c>
      <c r="I183" s="10" t="str">
        <f ca="1">IF($H183="","",IF($H183&gt;=[1]Guide_Brands!$B$33,"Strong",IF($H183&gt;=[1]Guide_Brands!$B$34,"Medium","Early / short")))</f>
        <v/>
      </c>
      <c r="J183" s="11"/>
      <c r="K183" s="7"/>
      <c r="L183" s="7"/>
      <c r="M183" s="7"/>
      <c r="N183" s="7"/>
      <c r="O183" s="7"/>
      <c r="P183" s="7"/>
      <c r="Q183" s="7"/>
      <c r="R183" s="7"/>
      <c r="S183" s="7"/>
    </row>
    <row r="184" spans="2:19" x14ac:dyDescent="0.3">
      <c r="B184" s="7"/>
      <c r="C184" s="7"/>
      <c r="D184" s="7"/>
      <c r="E184" s="8"/>
      <c r="F184" s="7"/>
      <c r="G184" s="8"/>
      <c r="H184" s="9" t="str">
        <f t="shared" ca="1" si="1"/>
        <v/>
      </c>
      <c r="I184" s="10" t="str">
        <f ca="1">IF($H184="","",IF($H184&gt;=[1]Guide_Brands!$B$33,"Strong",IF($H184&gt;=[1]Guide_Brands!$B$34,"Medium","Early / short")))</f>
        <v/>
      </c>
      <c r="J184" s="11"/>
      <c r="K184" s="7"/>
      <c r="L184" s="7"/>
      <c r="M184" s="7"/>
      <c r="N184" s="7"/>
      <c r="O184" s="7"/>
      <c r="P184" s="7"/>
      <c r="Q184" s="7"/>
      <c r="R184" s="7"/>
      <c r="S184" s="7"/>
    </row>
    <row r="185" spans="2:19" x14ac:dyDescent="0.3">
      <c r="B185" s="7"/>
      <c r="C185" s="7"/>
      <c r="D185" s="7"/>
      <c r="E185" s="8"/>
      <c r="F185" s="7"/>
      <c r="G185" s="8"/>
      <c r="H185" s="9" t="str">
        <f t="shared" ca="1" si="1"/>
        <v/>
      </c>
      <c r="I185" s="10" t="str">
        <f ca="1">IF($H185="","",IF($H185&gt;=[1]Guide_Brands!$B$33,"Strong",IF($H185&gt;=[1]Guide_Brands!$B$34,"Medium","Early / short")))</f>
        <v/>
      </c>
      <c r="J185" s="11"/>
      <c r="K185" s="7"/>
      <c r="L185" s="7"/>
      <c r="M185" s="7"/>
      <c r="N185" s="7"/>
      <c r="O185" s="7"/>
      <c r="P185" s="7"/>
      <c r="Q185" s="7"/>
      <c r="R185" s="7"/>
      <c r="S185" s="7"/>
    </row>
    <row r="186" spans="2:19" x14ac:dyDescent="0.3">
      <c r="B186" s="7"/>
      <c r="C186" s="7"/>
      <c r="D186" s="7"/>
      <c r="E186" s="8"/>
      <c r="F186" s="7"/>
      <c r="G186" s="8"/>
      <c r="H186" s="9" t="str">
        <f t="shared" ca="1" si="1"/>
        <v/>
      </c>
      <c r="I186" s="10" t="str">
        <f ca="1">IF($H186="","",IF($H186&gt;=[1]Guide_Brands!$B$33,"Strong",IF($H186&gt;=[1]Guide_Brands!$B$34,"Medium","Early / short")))</f>
        <v/>
      </c>
      <c r="J186" s="11"/>
      <c r="K186" s="7"/>
      <c r="L186" s="7"/>
      <c r="M186" s="7"/>
      <c r="N186" s="7"/>
      <c r="O186" s="7"/>
      <c r="P186" s="7"/>
      <c r="Q186" s="7"/>
      <c r="R186" s="7"/>
      <c r="S186" s="7"/>
    </row>
    <row r="187" spans="2:19" x14ac:dyDescent="0.3">
      <c r="B187" s="7"/>
      <c r="C187" s="7"/>
      <c r="D187" s="7"/>
      <c r="E187" s="8"/>
      <c r="F187" s="7"/>
      <c r="G187" s="8"/>
      <c r="H187" s="9" t="str">
        <f t="shared" ca="1" si="1"/>
        <v/>
      </c>
      <c r="I187" s="10" t="str">
        <f ca="1">IF($H187="","",IF($H187&gt;=[1]Guide_Brands!$B$33,"Strong",IF($H187&gt;=[1]Guide_Brands!$B$34,"Medium","Early / short")))</f>
        <v/>
      </c>
      <c r="J187" s="11"/>
      <c r="K187" s="7"/>
      <c r="L187" s="7"/>
      <c r="M187" s="7"/>
      <c r="N187" s="7"/>
      <c r="O187" s="7"/>
      <c r="P187" s="7"/>
      <c r="Q187" s="7"/>
      <c r="R187" s="7"/>
      <c r="S187" s="7"/>
    </row>
    <row r="188" spans="2:19" x14ac:dyDescent="0.3">
      <c r="B188" s="7"/>
      <c r="C188" s="7"/>
      <c r="D188" s="7"/>
      <c r="E188" s="8"/>
      <c r="F188" s="7"/>
      <c r="G188" s="8"/>
      <c r="H188" s="9" t="str">
        <f t="shared" ca="1" si="1"/>
        <v/>
      </c>
      <c r="I188" s="10" t="str">
        <f ca="1">IF($H188="","",IF($H188&gt;=[1]Guide_Brands!$B$33,"Strong",IF($H188&gt;=[1]Guide_Brands!$B$34,"Medium","Early / short")))</f>
        <v/>
      </c>
      <c r="J188" s="11"/>
      <c r="K188" s="7"/>
      <c r="L188" s="7"/>
      <c r="M188" s="7"/>
      <c r="N188" s="7"/>
      <c r="O188" s="7"/>
      <c r="P188" s="7"/>
      <c r="Q188" s="7"/>
      <c r="R188" s="7"/>
      <c r="S188" s="7"/>
    </row>
    <row r="189" spans="2:19" x14ac:dyDescent="0.3">
      <c r="B189" s="7"/>
      <c r="C189" s="7"/>
      <c r="D189" s="7"/>
      <c r="E189" s="8"/>
      <c r="F189" s="7"/>
      <c r="G189" s="8"/>
      <c r="H189" s="9" t="str">
        <f t="shared" ca="1" si="1"/>
        <v/>
      </c>
      <c r="I189" s="10" t="str">
        <f ca="1">IF($H189="","",IF($H189&gt;=[1]Guide_Brands!$B$33,"Strong",IF($H189&gt;=[1]Guide_Brands!$B$34,"Medium","Early / short")))</f>
        <v/>
      </c>
      <c r="J189" s="11"/>
      <c r="K189" s="7"/>
      <c r="L189" s="7"/>
      <c r="M189" s="7"/>
      <c r="N189" s="7"/>
      <c r="O189" s="7"/>
      <c r="P189" s="7"/>
      <c r="Q189" s="7"/>
      <c r="R189" s="7"/>
      <c r="S189" s="7"/>
    </row>
    <row r="190" spans="2:19" x14ac:dyDescent="0.3">
      <c r="B190" s="7"/>
      <c r="C190" s="7"/>
      <c r="D190" s="7"/>
      <c r="E190" s="8"/>
      <c r="F190" s="7"/>
      <c r="G190" s="8"/>
      <c r="H190" s="9" t="str">
        <f t="shared" ca="1" si="1"/>
        <v/>
      </c>
      <c r="I190" s="10" t="str">
        <f ca="1">IF($H190="","",IF($H190&gt;=[1]Guide_Brands!$B$33,"Strong",IF($H190&gt;=[1]Guide_Brands!$B$34,"Medium","Early / short")))</f>
        <v/>
      </c>
      <c r="J190" s="11"/>
      <c r="K190" s="7"/>
      <c r="L190" s="7"/>
      <c r="M190" s="7"/>
      <c r="N190" s="7"/>
      <c r="O190" s="7"/>
      <c r="P190" s="7"/>
      <c r="Q190" s="7"/>
      <c r="R190" s="7"/>
      <c r="S190" s="7"/>
    </row>
    <row r="191" spans="2:19" x14ac:dyDescent="0.3">
      <c r="B191" s="7"/>
      <c r="C191" s="7"/>
      <c r="D191" s="7"/>
      <c r="E191" s="8"/>
      <c r="F191" s="7"/>
      <c r="G191" s="8"/>
      <c r="H191" s="9" t="str">
        <f t="shared" ca="1" si="1"/>
        <v/>
      </c>
      <c r="I191" s="10" t="str">
        <f ca="1">IF($H191="","",IF($H191&gt;=[1]Guide_Brands!$B$33,"Strong",IF($H191&gt;=[1]Guide_Brands!$B$34,"Medium","Early / short")))</f>
        <v/>
      </c>
      <c r="J191" s="11"/>
      <c r="K191" s="7"/>
      <c r="L191" s="7"/>
      <c r="M191" s="7"/>
      <c r="N191" s="7"/>
      <c r="O191" s="7"/>
      <c r="P191" s="7"/>
      <c r="Q191" s="7"/>
      <c r="R191" s="7"/>
      <c r="S191" s="7"/>
    </row>
    <row r="192" spans="2:19" x14ac:dyDescent="0.3">
      <c r="B192" s="7"/>
      <c r="C192" s="7"/>
      <c r="D192" s="7"/>
      <c r="E192" s="8"/>
      <c r="F192" s="7"/>
      <c r="G192" s="8"/>
      <c r="H192" s="9" t="str">
        <f t="shared" ca="1" si="1"/>
        <v/>
      </c>
      <c r="I192" s="10" t="str">
        <f ca="1">IF($H192="","",IF($H192&gt;=[1]Guide_Brands!$B$33,"Strong",IF($H192&gt;=[1]Guide_Brands!$B$34,"Medium","Early / short")))</f>
        <v/>
      </c>
      <c r="J192" s="11"/>
      <c r="K192" s="7"/>
      <c r="L192" s="7"/>
      <c r="M192" s="7"/>
      <c r="N192" s="7"/>
      <c r="O192" s="7"/>
      <c r="P192" s="7"/>
      <c r="Q192" s="7"/>
      <c r="R192" s="7"/>
      <c r="S192" s="7"/>
    </row>
    <row r="193" spans="2:19" x14ac:dyDescent="0.3">
      <c r="B193" s="7"/>
      <c r="C193" s="7"/>
      <c r="D193" s="7"/>
      <c r="E193" s="8"/>
      <c r="F193" s="7"/>
      <c r="G193" s="8"/>
      <c r="H193" s="9" t="str">
        <f t="shared" ca="1" si="1"/>
        <v/>
      </c>
      <c r="I193" s="10" t="str">
        <f ca="1">IF($H193="","",IF($H193&gt;=[1]Guide_Brands!$B$33,"Strong",IF($H193&gt;=[1]Guide_Brands!$B$34,"Medium","Early / short")))</f>
        <v/>
      </c>
      <c r="J193" s="11"/>
      <c r="K193" s="7"/>
      <c r="L193" s="7"/>
      <c r="M193" s="7"/>
      <c r="N193" s="7"/>
      <c r="O193" s="7"/>
      <c r="P193" s="7"/>
      <c r="Q193" s="7"/>
      <c r="R193" s="7"/>
      <c r="S193" s="7"/>
    </row>
    <row r="194" spans="2:19" x14ac:dyDescent="0.3">
      <c r="B194" s="7"/>
      <c r="C194" s="7"/>
      <c r="D194" s="7"/>
      <c r="E194" s="8"/>
      <c r="F194" s="7"/>
      <c r="G194" s="8"/>
      <c r="H194" s="9" t="str">
        <f t="shared" ref="H194:H202" ca="1" si="2">IF(OR($B194="",$E194=""),"",IF($F194="Active",TODAY()-$E194,IF($G194="","",$G194-$E194)))</f>
        <v/>
      </c>
      <c r="I194" s="10" t="str">
        <f ca="1">IF($H194="","",IF($H194&gt;=[1]Guide_Brands!$B$33,"Strong",IF($H194&gt;=[1]Guide_Brands!$B$34,"Medium","Early / short")))</f>
        <v/>
      </c>
      <c r="J194" s="11"/>
      <c r="K194" s="7"/>
      <c r="L194" s="7"/>
      <c r="M194" s="7"/>
      <c r="N194" s="7"/>
      <c r="O194" s="7"/>
      <c r="P194" s="7"/>
      <c r="Q194" s="7"/>
      <c r="R194" s="7"/>
      <c r="S194" s="7"/>
    </row>
    <row r="195" spans="2:19" x14ac:dyDescent="0.3">
      <c r="B195" s="7"/>
      <c r="C195" s="7"/>
      <c r="D195" s="7"/>
      <c r="E195" s="8"/>
      <c r="F195" s="7"/>
      <c r="G195" s="8"/>
      <c r="H195" s="9" t="str">
        <f t="shared" ca="1" si="2"/>
        <v/>
      </c>
      <c r="I195" s="10" t="str">
        <f ca="1">IF($H195="","",IF($H195&gt;=[1]Guide_Brands!$B$33,"Strong",IF($H195&gt;=[1]Guide_Brands!$B$34,"Medium","Early / short")))</f>
        <v/>
      </c>
      <c r="J195" s="11"/>
      <c r="K195" s="7"/>
      <c r="L195" s="7"/>
      <c r="M195" s="7"/>
      <c r="N195" s="7"/>
      <c r="O195" s="7"/>
      <c r="P195" s="7"/>
      <c r="Q195" s="7"/>
      <c r="R195" s="7"/>
      <c r="S195" s="7"/>
    </row>
    <row r="196" spans="2:19" x14ac:dyDescent="0.3">
      <c r="B196" s="7"/>
      <c r="C196" s="7"/>
      <c r="D196" s="7"/>
      <c r="E196" s="8"/>
      <c r="F196" s="7"/>
      <c r="G196" s="8"/>
      <c r="H196" s="9" t="str">
        <f t="shared" ca="1" si="2"/>
        <v/>
      </c>
      <c r="I196" s="10" t="str">
        <f ca="1">IF($H196="","",IF($H196&gt;=[1]Guide_Brands!$B$33,"Strong",IF($H196&gt;=[1]Guide_Brands!$B$34,"Medium","Early / short")))</f>
        <v/>
      </c>
      <c r="J196" s="11"/>
      <c r="K196" s="7"/>
      <c r="L196" s="7"/>
      <c r="M196" s="7"/>
      <c r="N196" s="7"/>
      <c r="O196" s="7"/>
      <c r="P196" s="7"/>
      <c r="Q196" s="7"/>
      <c r="R196" s="7"/>
      <c r="S196" s="7"/>
    </row>
    <row r="197" spans="2:19" x14ac:dyDescent="0.3">
      <c r="B197" s="7"/>
      <c r="C197" s="7"/>
      <c r="D197" s="7"/>
      <c r="E197" s="8"/>
      <c r="F197" s="7"/>
      <c r="G197" s="8"/>
      <c r="H197" s="9" t="str">
        <f t="shared" ca="1" si="2"/>
        <v/>
      </c>
      <c r="I197" s="10" t="str">
        <f ca="1">IF($H197="","",IF($H197&gt;=[1]Guide_Brands!$B$33,"Strong",IF($H197&gt;=[1]Guide_Brands!$B$34,"Medium","Early / short")))</f>
        <v/>
      </c>
      <c r="J197" s="11"/>
      <c r="K197" s="7"/>
      <c r="L197" s="7"/>
      <c r="M197" s="7"/>
      <c r="N197" s="7"/>
      <c r="O197" s="7"/>
      <c r="P197" s="7"/>
      <c r="Q197" s="7"/>
      <c r="R197" s="7"/>
      <c r="S197" s="7"/>
    </row>
    <row r="198" spans="2:19" x14ac:dyDescent="0.3">
      <c r="B198" s="7"/>
      <c r="C198" s="7"/>
      <c r="D198" s="7"/>
      <c r="E198" s="8"/>
      <c r="F198" s="7"/>
      <c r="G198" s="8"/>
      <c r="H198" s="9" t="str">
        <f t="shared" ca="1" si="2"/>
        <v/>
      </c>
      <c r="I198" s="10" t="str">
        <f ca="1">IF($H198="","",IF($H198&gt;=[1]Guide_Brands!$B$33,"Strong",IF($H198&gt;=[1]Guide_Brands!$B$34,"Medium","Early / short")))</f>
        <v/>
      </c>
      <c r="J198" s="11"/>
      <c r="K198" s="7"/>
      <c r="L198" s="7"/>
      <c r="M198" s="7"/>
      <c r="N198" s="7"/>
      <c r="O198" s="7"/>
      <c r="P198" s="7"/>
      <c r="Q198" s="7"/>
      <c r="R198" s="7"/>
      <c r="S198" s="7"/>
    </row>
    <row r="199" spans="2:19" x14ac:dyDescent="0.3">
      <c r="B199" s="7"/>
      <c r="C199" s="7"/>
      <c r="D199" s="7"/>
      <c r="E199" s="8"/>
      <c r="F199" s="7"/>
      <c r="G199" s="8"/>
      <c r="H199" s="9" t="str">
        <f t="shared" ca="1" si="2"/>
        <v/>
      </c>
      <c r="I199" s="10" t="str">
        <f ca="1">IF($H199="","",IF($H199&gt;=[1]Guide_Brands!$B$33,"Strong",IF($H199&gt;=[1]Guide_Brands!$B$34,"Medium","Early / short")))</f>
        <v/>
      </c>
      <c r="J199" s="11"/>
      <c r="K199" s="7"/>
      <c r="L199" s="7"/>
      <c r="M199" s="7"/>
      <c r="N199" s="7"/>
      <c r="O199" s="7"/>
      <c r="P199" s="7"/>
      <c r="Q199" s="7"/>
      <c r="R199" s="7"/>
      <c r="S199" s="7"/>
    </row>
    <row r="200" spans="2:19" x14ac:dyDescent="0.3">
      <c r="B200" s="7"/>
      <c r="C200" s="7"/>
      <c r="D200" s="7"/>
      <c r="E200" s="8"/>
      <c r="F200" s="7"/>
      <c r="G200" s="8"/>
      <c r="H200" s="9" t="str">
        <f t="shared" ca="1" si="2"/>
        <v/>
      </c>
      <c r="I200" s="10" t="str">
        <f ca="1">IF($H200="","",IF($H200&gt;=[1]Guide_Brands!$B$33,"Strong",IF($H200&gt;=[1]Guide_Brands!$B$34,"Medium","Early / short")))</f>
        <v/>
      </c>
      <c r="J200" s="11"/>
      <c r="K200" s="7"/>
      <c r="L200" s="7"/>
      <c r="M200" s="7"/>
      <c r="N200" s="7"/>
      <c r="O200" s="7"/>
      <c r="P200" s="7"/>
      <c r="Q200" s="7"/>
      <c r="R200" s="7"/>
      <c r="S200" s="7"/>
    </row>
    <row r="201" spans="2:19" x14ac:dyDescent="0.3">
      <c r="B201" s="7"/>
      <c r="C201" s="7"/>
      <c r="D201" s="7"/>
      <c r="E201" s="8"/>
      <c r="F201" s="7"/>
      <c r="G201" s="8"/>
      <c r="H201" s="9" t="str">
        <f t="shared" ca="1" si="2"/>
        <v/>
      </c>
      <c r="I201" s="10" t="str">
        <f ca="1">IF($H201="","",IF($H201&gt;=[1]Guide_Brands!$B$33,"Strong",IF($H201&gt;=[1]Guide_Brands!$B$34,"Medium","Early / short")))</f>
        <v/>
      </c>
      <c r="J201" s="11"/>
      <c r="K201" s="7"/>
      <c r="L201" s="7"/>
      <c r="M201" s="7"/>
      <c r="N201" s="7"/>
      <c r="O201" s="7"/>
      <c r="P201" s="7"/>
      <c r="Q201" s="7"/>
      <c r="R201" s="7"/>
      <c r="S201" s="7"/>
    </row>
    <row r="202" spans="2:19" x14ac:dyDescent="0.3">
      <c r="B202" s="7"/>
      <c r="C202" s="7"/>
      <c r="D202" s="7"/>
      <c r="E202" s="8"/>
      <c r="F202" s="7"/>
      <c r="G202" s="8"/>
      <c r="H202" s="9" t="str">
        <f t="shared" ca="1" si="2"/>
        <v/>
      </c>
      <c r="I202" s="10" t="str">
        <f ca="1">IF($H202="","",IF($H202&gt;=[1]Guide_Brands!$B$33,"Strong",IF($H202&gt;=[1]Guide_Brands!$B$34,"Medium","Early / short")))</f>
        <v/>
      </c>
      <c r="J202" s="11"/>
      <c r="K202" s="7"/>
      <c r="L202" s="7"/>
      <c r="M202" s="7"/>
      <c r="N202" s="7"/>
      <c r="O202" s="7"/>
      <c r="P202" s="7"/>
      <c r="Q202" s="7"/>
      <c r="R202" s="7"/>
      <c r="S202" s="7"/>
    </row>
  </sheetData>
  <mergeCells count="2">
    <mergeCell ref="B1:H1"/>
    <mergeCell ref="B2:K2"/>
  </mergeCells>
  <dataValidations count="4">
    <dataValidation type="list" allowBlank="1" sqref="N5:N202" xr:uid="{401CD11C-6C95-4EA3-B321-F15C9FFC1804}">
      <formula1>"Cookware &amp; Utensils,Bakeware,Container,Lunch Box + Bag,Racks + Trivets,Multiple / Brand-level"</formula1>
      <formula2>0</formula2>
    </dataValidation>
    <dataValidation type="list" allowBlank="1" sqref="K5:M202" xr:uid="{9A0E4C6A-1044-412D-A72A-AC2590E47C95}">
      <formula1>"Video,Image,Carousel,Text"</formula1>
      <formula2>0</formula2>
    </dataValidation>
    <dataValidation type="list" allowBlank="1" sqref="F5:F202" xr:uid="{B7FAE0C3-AE9A-4370-A96D-71E5EDE548AC}">
      <formula1>"Active,Inactive"</formula1>
      <formula2>0</formula2>
    </dataValidation>
    <dataValidation type="list" allowBlank="1" sqref="C5:C202" xr:uid="{4BBBB2C1-A5AC-4E93-9BB2-0D5823DAB28C}">
      <formula1>"Meta - Instagram,Meta - Facebook,Google Search,YouTube,Google Display"</formula1>
      <formula2>0</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Gupta</dc:creator>
  <cp:lastModifiedBy>Khushi Gupta</cp:lastModifiedBy>
  <dcterms:created xsi:type="dcterms:W3CDTF">2026-09-23T19:11:31Z</dcterms:created>
  <dcterms:modified xsi:type="dcterms:W3CDTF">2026-09-23T19:13:10Z</dcterms:modified>
</cp:coreProperties>
</file>